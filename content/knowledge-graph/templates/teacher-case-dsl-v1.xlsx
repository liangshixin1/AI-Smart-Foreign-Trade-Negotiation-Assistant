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b726e785024f8a" /></Relationships>
</file>

<file path=xl/workbook.xml><?xml version="1.0" encoding="utf-8"?>
<x:workbook xmlns:x="http://schemas.openxmlformats.org/spreadsheetml/2006/main">
  <x:sheets>
    <x:sheet xmlns:r="http://schemas.openxmlformats.org/officeDocument/2006/relationships" name="00_开始这里" sheetId="1" r:id="Re3a03bd8bd574dcd"/>
    <x:sheet xmlns:r="http://schemas.openxmlformats.org/officeDocument/2006/relationships" name="01_案例总表" sheetId="2" r:id="Rc56a069e6a1f4a74"/>
    <x:sheet xmlns:r="http://schemas.openxmlformats.org/officeDocument/2006/relationships" name="02_关键局面" sheetId="3" r:id="Re1e41c6871fc4995"/>
    <x:sheet xmlns:r="http://schemas.openxmlformats.org/officeDocument/2006/relationships" name="03_应对策略" sheetId="4" r:id="R11064f8cbdc34f3e"/>
    <x:sheet xmlns:r="http://schemas.openxmlformats.org/officeDocument/2006/relationships" name="04_知识与材料" sheetId="5" r:id="Rcb72e00e866d49c4"/>
    <x:sheet xmlns:r="http://schemas.openxmlformats.org/officeDocument/2006/relationships" name="05_分级提示" sheetId="6" r:id="R52309b0804e040cd"/>
    <x:sheet xmlns:r="http://schemas.openxmlformats.org/officeDocument/2006/relationships" name="06_评价量规" sheetId="7" r:id="Rcdc4e50f531748a4"/>
    <x:sheet xmlns:r="http://schemas.openxmlformats.org/officeDocument/2006/relationships" name="07_结果与复盘" sheetId="8" r:id="R6cc1bab00fd74559"/>
    <x:sheet xmlns:r="http://schemas.openxmlformats.org/officeDocument/2006/relationships" name="08_导入检查" sheetId="9" r:id="R449e445fa1424679"/>
    <x:sheet xmlns:r="http://schemas.openxmlformats.org/officeDocument/2006/relationships" name="09_填写参考" sheetId="10" r:id="R7ce763b8811c4c9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1"/>
      <x:color rgb="FF1D3029"/>
      <x:name val="PingFang SC"/>
    </x:font>
    <x:font>
      <x:b/>
      <x:sz val="11"/>
      <x:color rgb="FFFFFFFF"/>
      <x:name val="PingFang SC"/>
    </x:font>
    <x:font>
      <x:b/>
      <x:sz val="11"/>
      <x:color rgb="FF174C3C"/>
      <x:name val="PingFang SC"/>
    </x:font>
    <x:font>
      <x:sz val="11"/>
      <x:color rgb="FF5E6F68"/>
      <x:name val="PingFang SC"/>
    </x:font>
    <x:font>
      <x:i/>
      <x:sz val="11"/>
      <x:color rgb="FF5E6F68"/>
      <x:name val="PingFang SC"/>
    </x:font>
  </x:fonts>
  <x:fills count="9">
    <x:fill>
      <x:patternFill patternType="none"/>
    </x:fill>
    <x:fill>
      <x:patternFill patternType="gray125"/>
    </x:fill>
    <x:fill>
      <x:patternFill patternType="solid">
        <x:fgColor rgb="FF174C3C"/>
      </x:patternFill>
    </x:fill>
    <x:fill>
      <x:patternFill patternType="solid">
        <x:fgColor rgb="FFE9F4EF"/>
      </x:patternFill>
    </x:fill>
    <x:fill>
      <x:patternFill patternType="solid">
        <x:fgColor rgb="FF23745A"/>
      </x:patternFill>
    </x:fill>
    <x:fill>
      <x:patternFill patternType="solid">
        <x:fgColor rgb="FFFFFFFF"/>
      </x:patternFill>
    </x:fill>
    <x:fill>
      <x:patternFill patternType="solid">
        <x:fgColor rgb="FFFFFBEA"/>
      </x:patternFill>
    </x:fill>
    <x:fill>
      <x:patternFill patternType="solid">
        <x:fgColor rgb="FFEAF2FB"/>
      </x:patternFill>
    </x:fill>
    <x:fill>
      <x:patternFill patternType="solid">
        <x:fgColor rgb="FFEFF4F1"/>
      </x:patternFill>
    </x:fill>
  </x:fills>
  <x:borders count="8">
    <x:border/>
    <x:border>
      <x:left style="thin">
        <x:color rgb="FFCBD8D2"/>
      </x:left>
      <x:top style="thin">
        <x:color rgb="FFCBD8D2"/>
      </x:top>
    </x:border>
    <x:border>
      <x:top style="thin">
        <x:color rgb="FFCBD8D2"/>
      </x:top>
    </x:border>
    <x:border>
      <x:right style="thin">
        <x:color rgb="FFCBD8D2"/>
      </x:right>
      <x:top style="thin">
        <x:color rgb="FFCBD8D2"/>
      </x:top>
    </x:border>
    <x:border>
      <x:left style="thin">
        <x:color rgb="FFCBD8D2"/>
      </x:left>
      <x:bottom style="thin">
        <x:color rgb="FFCBD8D2"/>
      </x:bottom>
    </x:border>
    <x:border>
      <x:bottom style="thin">
        <x:color rgb="FFCBD8D2"/>
      </x:bottom>
    </x:border>
    <x:border>
      <x:right style="thin">
        <x:color rgb="FFCBD8D2"/>
      </x:right>
      <x:bottom style="thin">
        <x:color rgb="FFCBD8D2"/>
      </x:bottom>
    </x:border>
    <x:border>
      <x:left style="thin">
        <x:color rgb="FFCBD8D2"/>
      </x:left>
      <x:right style="thin">
        <x:color rgb="FFCBD8D2"/>
      </x:right>
      <x:top style="thin">
        <x:color rgb="FFCBD8D2"/>
      </x:top>
      <x:bottom style="thin">
        <x:color rgb="FFCBD8D2"/>
      </x:bottom>
    </x:border>
  </x:borders>
  <x:cellStyleXfs count="1">
    <x:xf numFmtId="0" fontId="0" fillId="0" borderId="0"/>
  </x:cellStyleXfs>
  <x:cellXfs count="6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3" borderId="0" xfId="0" applyNumberFormat="1" applyFont="1" applyFill="1" applyBorder="1"/>
    <x:xf numFmtId="0" fontId="1" fillId="3" borderId="1" xfId="0" applyNumberFormat="1" applyFont="1" applyFill="1" applyBorder="1"/>
    <x:xf numFmtId="0" fontId="1" fillId="3" borderId="2" xfId="0" applyNumberFormat="1" applyFont="1" applyFill="1" applyBorder="1"/>
    <x:xf numFmtId="0" fontId="1" fillId="3" borderId="3" xfId="0" applyNumberFormat="1" applyFont="1" applyFill="1" applyBorder="1"/>
    <x:xf numFmtId="0" fontId="1" fillId="3" borderId="4" xfId="0" applyNumberFormat="1" applyFont="1" applyFill="1" applyBorder="1"/>
    <x:xf numFmtId="0" fontId="1" fillId="3" borderId="5" xfId="0" applyNumberFormat="1" applyFont="1" applyFill="1" applyBorder="1"/>
    <x:xf numFmtId="0" fontId="1" fillId="3" borderId="6" xfId="0" applyNumberFormat="1" applyFont="1" applyFill="1" applyBorder="1"/>
    <x:xf numFmtId="0" fontId="1" fillId="3" borderId="1" xfId="0" applyNumberFormat="1" applyFont="1" applyFill="1" applyBorder="1" applyAlignment="1">
      <x:alignment wrapText="1"/>
    </x:xf>
    <x:xf numFmtId="0" fontId="1" fillId="3" borderId="2" xfId="0" applyNumberFormat="1" applyFont="1" applyFill="1" applyBorder="1" applyAlignment="1">
      <x:alignment wrapText="1"/>
    </x:xf>
    <x:xf numFmtId="0" fontId="1" fillId="3" borderId="3" xfId="0" applyNumberFormat="1" applyFont="1" applyFill="1" applyBorder="1" applyAlignment="1">
      <x:alignment wrapText="1"/>
    </x:xf>
    <x:xf numFmtId="0" fontId="1" fillId="3" borderId="4" xfId="0" applyNumberFormat="1" applyFont="1" applyFill="1" applyBorder="1" applyAlignment="1">
      <x:alignment wrapText="1"/>
    </x:xf>
    <x:xf numFmtId="0" fontId="1" fillId="3" borderId="5" xfId="0" applyNumberFormat="1" applyFont="1" applyFill="1" applyBorder="1" applyAlignment="1">
      <x:alignment wrapText="1"/>
    </x:xf>
    <x:xf numFmtId="0" fontId="1" fillId="3" borderId="6" xfId="0" applyNumberFormat="1" applyFont="1" applyFill="1" applyBorder="1" applyAlignment="1">
      <x:alignment wrapText="1"/>
    </x:xf>
    <x:xf numFmtId="0" fontId="3" fillId="0" borderId="0" xfId="0" applyNumberFormat="1" applyFont="1" applyFill="1" applyBorder="1"/>
    <x:xf numFmtId="0" fontId="1" fillId="4" borderId="0" xfId="0" applyNumberFormat="1" applyFont="1" applyFill="1" applyBorder="1"/>
    <x:xf numFmtId="0" fontId="2" fillId="4" borderId="0" xfId="0" applyNumberFormat="1" applyFont="1" applyFill="1" applyBorder="1"/>
    <x:xf numFmtId="0" fontId="2" fillId="4" borderId="7" xfId="0" applyNumberFormat="1" applyFont="1" applyFill="1" applyBorder="1"/>
    <x:xf numFmtId="0" fontId="2" fillId="4" borderId="7" xfId="0" applyNumberFormat="1" applyFont="1" applyFill="1" applyBorder="1" applyAlignment="1">
      <x:alignment horizontal="center"/>
    </x:xf>
    <x:xf numFmtId="0" fontId="1" fillId="5" borderId="0" xfId="0" applyNumberFormat="1" applyFont="1" applyFill="1" applyBorder="1"/>
    <x:xf numFmtId="0" fontId="1" fillId="5" borderId="7" xfId="0" applyNumberFormat="1" applyFont="1" applyFill="1" applyBorder="1"/>
    <x:xf numFmtId="0" fontId="1" fillId="5" borderId="7" xfId="0" applyNumberFormat="1" applyFont="1" applyFill="1" applyBorder="1" applyAlignment="1">
      <x:alignment wrapText="1"/>
    </x:xf>
    <x:xf numFmtId="0" fontId="1" fillId="6" borderId="0" xfId="0" applyNumberFormat="1" applyFont="1" applyFill="1" applyBorder="1"/>
    <x:xf numFmtId="0" fontId="1" fillId="6" borderId="7" xfId="0" applyNumberFormat="1" applyFont="1" applyFill="1" applyBorder="1"/>
    <x:xf numFmtId="0" fontId="1" fillId="6" borderId="7" xfId="0" applyNumberFormat="1" applyFont="1" applyFill="1" applyBorder="1" applyAlignment="1">
      <x:alignment wrapText="1"/>
    </x:xf>
    <x:xf numFmtId="0" fontId="3" fillId="6" borderId="7" xfId="0" applyNumberFormat="1" applyFont="1" applyFill="1" applyBorder="1" applyAlignment="1">
      <x:alignment wrapText="1"/>
    </x:xf>
    <x:xf numFmtId="0" fontId="1"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0" fontId="1" fillId="6" borderId="0" xfId="0" applyNumberFormat="1" applyFont="1" applyFill="1" applyBorder="1" applyAlignment="1">
      <x:alignment vertical="center"/>
    </x:xf>
    <x:xf numFmtId="0" fontId="5" fillId="6" borderId="0" xfId="0" applyNumberFormat="1" applyFont="1" applyFill="1" applyBorder="1" applyAlignment="1">
      <x:alignment vertical="center"/>
    </x:xf>
    <x:xf numFmtId="0" fontId="5" fillId="6"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2" fillId="4" borderId="0" xfId="0" applyNumberFormat="1" applyFont="1" applyFill="1" applyBorder="1" applyAlignment="1">
      <x:alignment vertical="center"/>
    </x:xf>
    <x:xf numFmtId="0" fontId="2" fillId="4" borderId="7" xfId="0" applyNumberFormat="1" applyFont="1" applyFill="1" applyBorder="1" applyAlignment="1">
      <x:alignment vertical="center"/>
    </x:xf>
    <x:xf numFmtId="0" fontId="2" fillId="4" borderId="7" xfId="0" applyNumberFormat="1" applyFont="1" applyFill="1" applyBorder="1" applyAlignment="1">
      <x:alignment vertical="center" wrapText="1"/>
    </x:xf>
    <x:xf numFmtId="0" fontId="1" fillId="6" borderId="7" xfId="0" applyNumberFormat="1" applyFont="1" applyFill="1" applyBorder="1" applyAlignment="1">
      <x:alignment vertical="center"/>
    </x:xf>
    <x:xf numFmtId="0" fontId="1" fillId="6" borderId="7" xfId="0" applyNumberFormat="1" applyFont="1" applyFill="1" applyBorder="1" applyAlignment="1">
      <x:alignment vertical="center" wrapText="1"/>
    </x:xf>
    <x:xf numFmtId="0" fontId="1" fillId="6" borderId="7" xfId="0" applyNumberFormat="1" applyFont="1" applyFill="1" applyBorder="1" applyAlignment="1">
      <x:alignment vertical="top" wrapText="1"/>
    </x:xf>
    <x:xf numFmtId="0" fontId="1" fillId="8" borderId="7" xfId="0" applyNumberFormat="1" applyFont="1" applyFill="1" applyBorder="1" applyAlignment="1">
      <x:alignment vertical="top" wrapText="1"/>
    </x:xf>
    <x:xf numFmtId="0" fontId="3" fillId="8" borderId="7" xfId="0" applyNumberFormat="1" applyFont="1" applyFill="1" applyBorder="1" applyAlignment="1">
      <x:alignment vertical="top" wrapText="1"/>
    </x:xf>
    <x:xf numFmtId="0" fontId="3" fillId="8" borderId="7" xfId="0" applyNumberFormat="1" applyFont="1" applyFill="1" applyBorder="1" applyAlignment="1">
      <x:alignment horizontal="center" vertical="top" wrapText="1"/>
    </x:xf>
    <x:xf numFmtId="0" fontId="3" fillId="8" borderId="7" xfId="0" applyNumberFormat="1" applyFont="1" applyFill="1" applyBorder="1" applyAlignment="1">
      <x:alignment horizontal="center" vertical="center" wrapText="1"/>
    </x:xf>
    <x:xf numFmtId="200" fontId="1" fillId="6" borderId="7" xfId="0" applyNumberFormat="1" applyFont="1" applyFill="1" applyBorder="1" applyAlignment="1">
      <x:alignment vertical="top" wrapText="1"/>
    </x:xf>
    <x:xf numFmtId="0" fontId="1" fillId="3" borderId="0" xfId="0" applyNumberFormat="1" applyFont="1" applyFill="1" applyBorder="1" applyAlignment="1">
      <x:alignment wrapText="1"/>
    </x:xf>
    <x:xf numFmtId="0" fontId="5" fillId="6" borderId="0" xfId="0" applyNumberFormat="1" applyFont="1" applyFill="1" applyBorder="1"/>
    <x:xf numFmtId="0" fontId="5" fillId="6" borderId="0" xfId="0" applyNumberFormat="1" applyFont="1" applyFill="1" applyBorder="1" applyAlignment="1">
      <x:alignment wrapText="1"/>
    </x:xf>
    <x:xf numFmtId="0" fontId="1" fillId="0" borderId="7" xfId="0" applyNumberFormat="1" applyFont="1" applyFill="1" applyBorder="1"/>
    <x:xf numFmtId="0" fontId="1" fillId="0" borderId="7" xfId="0" applyNumberFormat="1" applyFont="1" applyFill="1" applyBorder="1" applyAlignment="1">
      <x:alignment wrapText="1"/>
    </x:xf>
    <x:xf numFmtId="0" fontId="1" fillId="8" borderId="7" xfId="0" applyNumberFormat="1" applyFont="1" applyFill="1" applyBorder="1" applyAlignment="1">
      <x:alignment wrapText="1"/>
    </x:xf>
    <x:xf numFmtId="0" fontId="3" fillId="8" borderId="7" xfId="0" applyNumberFormat="1" applyFont="1" applyFill="1" applyBorder="1" applyAlignment="1">
      <x:alignment wrapText="1"/>
    </x:xf>
    <x:xf numFmtId="0" fontId="3" fillId="8" borderId="7" xfId="0" applyNumberFormat="1" applyFont="1" applyFill="1" applyBorder="1" applyAlignment="1">
      <x:alignment horizontal="center" wrapText="1"/>
    </x:xf>
    <x:xf numFmtId="0" fontId="1" fillId="8" borderId="0" xfId="0" applyNumberFormat="1" applyFont="1" applyFill="1" applyBorder="1"/>
    <x:xf numFmtId="0" fontId="1" fillId="8" borderId="7" xfId="0" applyNumberFormat="1" applyFont="1" applyFill="1" applyBorder="1"/>
    <x:xf numFmtId="0" fontId="1" fillId="8" borderId="7" xfId="0" applyNumberFormat="1" applyFont="1" applyFill="1" applyBorder="1" applyAlignment="1">
      <x:alignment horizontal="center"/>
    </x:xf>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center" vertical="center"/>
    </x:xf>
  </x:cellXfs>
  <x:cellStyles count="1">
    <x:cellStyle name="Normal" xfId="0"/>
  </x:cellStyles>
  <x:dxfs count="14">
    <x:dxf>
      <x:font>
        <x:b/>
        <x:color rgb="FFA33A3A"/>
      </x:font>
      <x:fill>
        <x:patternFill patternType="solid">
          <x:bgColor rgb="FFFDECEC"/>
        </x:patternFill>
      </x:fill>
    </x:dxf>
    <x:dxf>
      <x:font>
        <x:b/>
        <x:color rgb="FF174C3C"/>
      </x:font>
      <x:fill>
        <x:patternFill patternType="solid">
          <x:bgColor rgb="FFE8F5EE"/>
        </x:patternFill>
      </x:fill>
    </x:dxf>
    <x:dxf>
      <x:font>
        <x:b/>
        <x:color rgb="FFA33A3A"/>
      </x:font>
      <x:fill>
        <x:patternFill patternType="solid">
          <x:bgColor rgb="FFFDECEC"/>
        </x:patternFill>
      </x:fill>
    </x:dxf>
    <x:dxf>
      <x:font>
        <x:b/>
        <x:color rgb="FF174C3C"/>
      </x:font>
      <x:fill>
        <x:patternFill patternType="solid">
          <x:bgColor rgb="FFE8F5EE"/>
        </x:patternFill>
      </x:fill>
    </x:dxf>
    <x:dxf>
      <x:font>
        <x:b/>
        <x:color rgb="FFA33A3A"/>
      </x:font>
      <x:fill>
        <x:patternFill patternType="solid">
          <x:bgColor rgb="FFFDECEC"/>
        </x:patternFill>
      </x:fill>
    </x:dxf>
    <x:dxf>
      <x:font>
        <x:b/>
        <x:color rgb="FF174C3C"/>
      </x:font>
      <x:fill>
        <x:patternFill patternType="solid">
          <x:bgColor rgb="FFE8F5EE"/>
        </x:patternFill>
      </x:fill>
    </x:dxf>
    <x:dxf>
      <x:font>
        <x:b/>
        <x:color rgb="FFA33A3A"/>
      </x:font>
      <x:fill>
        <x:patternFill patternType="solid">
          <x:bgColor rgb="FFFDECEC"/>
        </x:patternFill>
      </x:fill>
    </x:dxf>
    <x:dxf>
      <x:font>
        <x:b/>
        <x:color rgb="FF174C3C"/>
      </x:font>
      <x:fill>
        <x:patternFill patternType="solid">
          <x:bgColor rgb="FFE8F5EE"/>
        </x:patternFill>
      </x:fill>
    </x:dxf>
    <x:dxf>
      <x:font>
        <x:b/>
        <x:color rgb="FFA33A3A"/>
      </x:font>
      <x:fill>
        <x:patternFill patternType="solid">
          <x:bgColor rgb="FFFDECEC"/>
        </x:patternFill>
      </x:fill>
    </x:dxf>
    <x:dxf>
      <x:font>
        <x:b/>
        <x:color rgb="FF174C3C"/>
      </x:font>
      <x:fill>
        <x:patternFill patternType="solid">
          <x:bgColor rgb="FFE8F5EE"/>
        </x:patternFill>
      </x:fill>
    </x:dxf>
    <x:dxf>
      <x:font>
        <x:b/>
        <x:color rgb="FFA33A3A"/>
      </x:font>
      <x:fill>
        <x:patternFill patternType="solid">
          <x:bgColor rgb="FFFDECEC"/>
        </x:patternFill>
      </x:fill>
    </x:dxf>
    <x:dxf>
      <x:font>
        <x:b/>
        <x:color rgb="FF174C3C"/>
      </x:font>
      <x:fill>
        <x:patternFill patternType="solid">
          <x:bgColor rgb="FFE8F5EE"/>
        </x:patternFill>
      </x:fill>
    </x:dxf>
    <x:dxf>
      <x:font>
        <x:b/>
        <x:color rgb="FFA33A3A"/>
      </x:font>
      <x:fill>
        <x:patternFill patternType="solid">
          <x:bgColor rgb="FFFDECEC"/>
        </x:patternFill>
      </x:fill>
    </x:dxf>
    <x:dxf>
      <x:font>
        <x:b/>
        <x:color rgb="FF174C3C"/>
      </x:font>
      <x:fill>
        <x:patternFill patternType="solid">
          <x:bgColor rgb="FFE8F5E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dd0ec94c52940d8" /><Relationship Type="http://schemas.openxmlformats.org/officeDocument/2006/relationships/theme" Target="/xl/theme/theme1.xml" Id="Rd12fe0e60aa74cb7" /><Relationship Type="http://schemas.openxmlformats.org/officeDocument/2006/relationships/sharedStrings" Target="/xl/sharedStrings.xml" Id="R1c961c5bfb9e4a9e" /><Relationship Type="http://schemas.openxmlformats.org/officeDocument/2006/relationships/worksheet" Target="/xl/worksheets/sheet1.xml" Id="Re3a03bd8bd574dcd" /><Relationship Type="http://schemas.openxmlformats.org/officeDocument/2006/relationships/worksheet" Target="/xl/worksheets/sheet2.xml" Id="Rc56a069e6a1f4a74" /><Relationship Type="http://schemas.openxmlformats.org/officeDocument/2006/relationships/worksheet" Target="/xl/worksheets/sheet3.xml" Id="Re1e41c6871fc4995" /><Relationship Type="http://schemas.openxmlformats.org/officeDocument/2006/relationships/worksheet" Target="/xl/worksheets/sheet4.xml" Id="R11064f8cbdc34f3e" /><Relationship Type="http://schemas.openxmlformats.org/officeDocument/2006/relationships/worksheet" Target="/xl/worksheets/sheet5.xml" Id="Rcb72e00e866d49c4" /><Relationship Type="http://schemas.openxmlformats.org/officeDocument/2006/relationships/worksheet" Target="/xl/worksheets/sheet6.xml" Id="R52309b0804e040cd" /><Relationship Type="http://schemas.openxmlformats.org/officeDocument/2006/relationships/worksheet" Target="/xl/worksheets/sheet7.xml" Id="Rcdc4e50f531748a4" /><Relationship Type="http://schemas.openxmlformats.org/officeDocument/2006/relationships/worksheet" Target="/xl/worksheets/sheet8.xml" Id="R6cc1bab00fd74559" /><Relationship Type="http://schemas.openxmlformats.org/officeDocument/2006/relationships/worksheet" Target="/xl/worksheets/sheet9.xml" Id="R449e445fa1424679" /><Relationship Type="http://schemas.openxmlformats.org/officeDocument/2006/relationships/worksheet" Target="/xl/worksheets/sheet10.xml" Id="R7ce763b8811c4c9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30" hidden="0" customWidth="1"/>
    <x:col min="4" max="4" width="30" hidden="0" customWidth="1"/>
    <x:col min="5" max="5" width="30" hidden="0" customWidth="1"/>
    <x:col min="6" max="6" width="30" hidden="0" customWidth="1"/>
    <x:col min="7" max="7" width="30" hidden="0" customWidth="1"/>
    <x:col min="8" max="8" width="30" hidden="0" customWidth="1"/>
  </x:cols>
  <x:sheetData>
    <x:row r="1" ht="38" customHeight="1">
      <x:c r="A1" s="3" t="str">
        <x:v>外贸谈判教学案例设计模板｜教师版 1.0</x:v>
      </x:c>
      <x:c r="B1" s="3"/>
      <x:c r="C1" s="3"/>
      <x:c r="D1" s="3"/>
      <x:c r="E1" s="3"/>
      <x:c r="F1" s="3"/>
      <x:c r="G1" s="3"/>
      <x:c r="H1" s="3"/>
    </x:row>
    <x:row r="2">
      <x:c r="A2" s="1"/>
      <x:c r="B2" s="1"/>
      <x:c r="C2" s="1"/>
      <x:c r="D2" s="1"/>
      <x:c r="E2" s="1"/>
      <x:c r="F2" s="1"/>
      <x:c r="G2" s="1"/>
      <x:c r="H2" s="1"/>
    </x:row>
    <x:row r="3" ht="28" customHeight="1">
      <x:c r="A3" s="11" t="str">
        <x:v>请像备课一样描述：学生遇到什么、应怎样应对、需要什么知识、何时给提示、怎样评价、可能产生什么结果。系统自动整理教学关系，由课程专家或技术员审核后发布。</x:v>
      </x:c>
      <x:c r="B3" s="12"/>
      <x:c r="C3" s="12"/>
      <x:c r="D3" s="12"/>
      <x:c r="E3" s="12"/>
      <x:c r="F3" s="12"/>
      <x:c r="G3" s="12"/>
      <x:c r="H3" s="13"/>
    </x:row>
    <x:row r="4" ht="28" customHeight="1">
      <x:c r="A4" s="14"/>
      <x:c r="B4" s="15"/>
      <x:c r="C4" s="15"/>
      <x:c r="D4" s="15"/>
      <x:c r="E4" s="15"/>
      <x:c r="F4" s="15"/>
      <x:c r="G4" s="15"/>
      <x:c r="H4" s="16"/>
    </x:row>
    <x:row r="5">
      <x:c r="A5" s="1"/>
      <x:c r="B5" s="1"/>
      <x:c r="C5" s="1"/>
      <x:c r="D5" s="1"/>
      <x:c r="E5" s="1"/>
      <x:c r="F5" s="1"/>
      <x:c r="G5" s="1"/>
      <x:c r="H5" s="1"/>
    </x:row>
    <x:row r="6" ht="28" customHeight="1">
      <x:c r="A6" s="17" t="str">
        <x:v>四步完成一个可训练、可评价、可复盘的案例</x:v>
      </x:c>
      <x:c r="B6" s="17"/>
      <x:c r="C6" s="17"/>
      <x:c r="D6" s="17"/>
      <x:c r="E6" s="17"/>
      <x:c r="F6" s="17"/>
      <x:c r="G6" s="17"/>
      <x:c r="H6" s="17"/>
    </x:row>
    <x:row r="7">
      <x:c r="A7" s="1"/>
      <x:c r="B7" s="1"/>
      <x:c r="C7" s="1"/>
      <x:c r="D7" s="1"/>
      <x:c r="E7" s="1"/>
      <x:c r="F7" s="1"/>
      <x:c r="G7" s="1"/>
      <x:c r="H7" s="1"/>
    </x:row>
    <x:row r="8" ht="30" customHeight="1">
      <x:c r="A8" s="21" t="str">
        <x:v>1</x:v>
      </x:c>
      <x:c r="B8" s="24" t="str">
        <x:v>先写案例</x:v>
      </x:c>
      <x:c r="C8" s="24"/>
      <x:c r="D8" s="24" t="str">
        <x:v>在“案例总表”说明角色、背景、任务和成果。</x:v>
      </x:c>
      <x:c r="E8" s="24"/>
      <x:c r="F8" s="24"/>
      <x:c r="G8" s="24"/>
      <x:c r="H8" s="24"/>
    </x:row>
    <x:row r="9">
      <x:c r="A9" s="1"/>
      <x:c r="B9" s="1"/>
      <x:c r="C9" s="1"/>
      <x:c r="D9" s="1"/>
      <x:c r="E9" s="1"/>
      <x:c r="F9" s="1"/>
      <x:c r="G9" s="1"/>
      <x:c r="H9" s="1"/>
    </x:row>
    <x:row r="10">
      <x:c r="A10" s="1"/>
      <x:c r="B10" s="1"/>
      <x:c r="C10" s="1"/>
      <x:c r="D10" s="1"/>
      <x:c r="E10" s="1"/>
      <x:c r="F10" s="1"/>
      <x:c r="G10" s="1"/>
      <x:c r="H10" s="1"/>
    </x:row>
    <x:row r="11" ht="30" customHeight="1">
      <x:c r="A11" s="21" t="str">
        <x:v>2</x:v>
      </x:c>
      <x:c r="B11" s="24" t="str">
        <x:v>拆关键局面</x:v>
      </x:c>
      <x:c r="C11" s="24"/>
      <x:c r="D11" s="24" t="str">
        <x:v>写出学生会看到的信号，以及应该识别的商务问题。</x:v>
      </x:c>
      <x:c r="E11" s="24"/>
      <x:c r="F11" s="24"/>
      <x:c r="G11" s="24"/>
      <x:c r="H11" s="24"/>
    </x:row>
    <x:row r="12">
      <x:c r="A12" s="1"/>
      <x:c r="B12" s="1"/>
      <x:c r="C12" s="1"/>
      <x:c r="D12" s="1"/>
      <x:c r="E12" s="1"/>
      <x:c r="F12" s="1"/>
      <x:c r="G12" s="1"/>
      <x:c r="H12" s="1"/>
    </x:row>
    <x:row r="13">
      <x:c r="A13" s="1"/>
      <x:c r="B13" s="1"/>
      <x:c r="C13" s="1"/>
      <x:c r="D13" s="1"/>
      <x:c r="E13" s="1"/>
      <x:c r="F13" s="1"/>
      <x:c r="G13" s="1"/>
      <x:c r="H13" s="1"/>
    </x:row>
    <x:row r="14" ht="30" customHeight="1">
      <x:c r="A14" s="21" t="str">
        <x:v>3</x:v>
      </x:c>
      <x:c r="B14" s="24" t="str">
        <x:v>补教学支持</x:v>
      </x:c>
      <x:c r="C14" s="24"/>
      <x:c r="D14" s="24" t="str">
        <x:v>为局面配置策略、知识材料、分级提示和评价量规。</x:v>
      </x:c>
      <x:c r="E14" s="24"/>
      <x:c r="F14" s="24"/>
      <x:c r="G14" s="24"/>
      <x:c r="H14" s="24"/>
    </x:row>
    <x:row r="15">
      <x:c r="A15" s="1"/>
      <x:c r="B15" s="1"/>
      <x:c r="C15" s="1"/>
      <x:c r="D15" s="1"/>
      <x:c r="E15" s="1"/>
      <x:c r="F15" s="1"/>
      <x:c r="G15" s="1"/>
      <x:c r="H15" s="1"/>
    </x:row>
    <x:row r="16">
      <x:c r="A16" s="1"/>
      <x:c r="B16" s="1"/>
      <x:c r="C16" s="1"/>
      <x:c r="D16" s="1"/>
      <x:c r="E16" s="1"/>
      <x:c r="F16" s="1"/>
      <x:c r="G16" s="1"/>
      <x:c r="H16" s="1"/>
    </x:row>
    <x:row r="17" ht="30" customHeight="1">
      <x:c r="A17" s="21" t="str">
        <x:v>4</x:v>
      </x:c>
      <x:c r="B17" s="24" t="str">
        <x:v>检查后提交</x:v>
      </x:c>
      <x:c r="C17" s="24"/>
      <x:c r="D17" s="24" t="str">
        <x:v>在“导入检查”确认没有阻断项，再提交课程专家评审。</x:v>
      </x:c>
      <x:c r="E17" s="24"/>
      <x:c r="F17" s="24"/>
      <x:c r="G17" s="24"/>
      <x:c r="H17" s="24"/>
    </x:row>
    <x:row r="18">
      <x:c r="A18" s="1"/>
      <x:c r="B18" s="1"/>
      <x:c r="C18" s="1"/>
      <x:c r="D18" s="1"/>
      <x:c r="E18" s="1"/>
      <x:c r="F18" s="1"/>
      <x:c r="G18" s="1"/>
      <x:c r="H18" s="1"/>
    </x:row>
    <x:row r="19">
      <x:c r="A19" s="1"/>
      <x:c r="B19" s="1"/>
      <x:c r="C19" s="1"/>
      <x:c r="D19" s="1"/>
      <x:c r="E19" s="1"/>
      <x:c r="F19" s="1"/>
      <x:c r="G19" s="1"/>
      <x:c r="H19" s="1"/>
    </x:row>
    <x:row r="20">
      <x:c r="A20" s="1"/>
      <x:c r="B20" s="1"/>
      <x:c r="C20" s="1"/>
      <x:c r="D20" s="1"/>
      <x:c r="E20" s="1"/>
      <x:c r="F20" s="1"/>
      <x:c r="G20" s="1"/>
      <x:c r="H20" s="1"/>
    </x:row>
    <x:row r="21">
      <x:c r="A21" s="19" t="str">
        <x:v>填写原则</x:v>
      </x:c>
      <x:c r="B21" s="19"/>
      <x:c r="C21" s="19"/>
      <x:c r="D21" s="19"/>
      <x:c r="E21" s="19"/>
      <x:c r="F21" s="19"/>
      <x:c r="G21" s="19"/>
      <x:c r="H21" s="19"/>
    </x:row>
    <x:row r="22" ht="23" customHeight="1">
      <x:c r="A22" s="28" t="str">
        <x:v>写学生可观察到的局面</x:v>
      </x:c>
      <x:c r="B22" s="28"/>
      <x:c r="C22" s="27" t="str">
        <x:v>例如“报价出现 subject to final confirmation”，不只写“理解虚盘”。</x:v>
      </x:c>
      <x:c r="D22" s="27"/>
      <x:c r="E22" s="27"/>
      <x:c r="F22" s="27"/>
      <x:c r="G22" s="27"/>
      <x:c r="H22" s="27"/>
    </x:row>
    <x:row r="23" ht="23" customHeight="1">
      <x:c r="A23" s="28" t="str">
        <x:v>写有条件的策略</x:v>
      </x:c>
      <x:c r="B23" s="28"/>
      <x:c r="C23" s="27" t="str">
        <x:v>说明何时使用、采取什么行动、什么做法不合适。</x:v>
      </x:c>
      <x:c r="D23" s="27"/>
      <x:c r="E23" s="27"/>
      <x:c r="F23" s="27"/>
      <x:c r="G23" s="27"/>
      <x:c r="H23" s="27"/>
    </x:row>
    <x:row r="24" ht="23" customHeight="1">
      <x:c r="A24" s="28" t="str">
        <x:v>知识必须服务行动</x:v>
      </x:c>
      <x:c r="B24" s="28"/>
      <x:c r="C24" s="27" t="str">
        <x:v>说明术语、规则或单证如何帮助学生完成本案例。</x:v>
      </x:c>
      <x:c r="D24" s="27"/>
      <x:c r="E24" s="27"/>
      <x:c r="F24" s="27"/>
      <x:c r="G24" s="27"/>
      <x:c r="H24" s="27"/>
    </x:row>
    <x:row r="25" ht="23" customHeight="1">
      <x:c r="A25" s="28" t="str">
        <x:v>提示要逐级并能撤除</x:v>
      </x:c>
      <x:c r="B25" s="28"/>
      <x:c r="C25" s="27" t="str">
        <x:v>先给线索，再给策略；学生独立完成后撤除。</x:v>
      </x:c>
      <x:c r="D25" s="27"/>
      <x:c r="E25" s="27"/>
      <x:c r="F25" s="27"/>
      <x:c r="G25" s="27"/>
      <x:c r="H25" s="27"/>
    </x:row>
    <x:row r="26" ht="23" customHeight="1">
      <x:c r="A26" s="28" t="str">
        <x:v>评价必须能找到证据</x:v>
      </x:c>
      <x:c r="B26" s="28"/>
      <x:c r="C26" s="27" t="str">
        <x:v>写清观察学生哪句话、哪项决定或哪份单证修改。</x:v>
      </x:c>
      <x:c r="D26" s="27"/>
      <x:c r="E26" s="27"/>
      <x:c r="F26" s="27"/>
      <x:c r="G26" s="27"/>
      <x:c r="H26" s="27"/>
    </x:row>
    <x:row r="27">
      <x:c r="A27" s="1"/>
      <x:c r="B27" s="1"/>
      <x:c r="C27" s="1"/>
      <x:c r="D27" s="1"/>
      <x:c r="E27" s="1"/>
      <x:c r="F27" s="1"/>
      <x:c r="G27" s="1"/>
      <x:c r="H27" s="1"/>
    </x:row>
    <x:row r="28">
      <x:c r="A28" s="1"/>
      <x:c r="B28" s="1"/>
      <x:c r="C28" s="1"/>
      <x:c r="D28" s="1"/>
      <x:c r="E28" s="1"/>
      <x:c r="F28" s="1"/>
      <x:c r="G28" s="1"/>
      <x:c r="H28" s="1"/>
    </x:row>
    <x:row r="29" ht="26" customHeight="1">
      <x:c r="A29" s="31" t="str">
        <x:v>完整测试资产：覆盖 20 个课程小节、40 个关键局面、80 条策略战术和 80 条知识资源。黄色区域为教师内容；灰色“填写检查”由系统计算。</x:v>
      </x:c>
      <x:c r="B29" s="31"/>
      <x:c r="C29" s="31"/>
      <x:c r="D29" s="31"/>
      <x:c r="E29" s="31"/>
      <x:c r="F29" s="31"/>
      <x:c r="G29" s="31"/>
      <x:c r="H29" s="31"/>
    </x:row>
    <x:row r="30" ht="26" customHeight="1">
      <x:c r="A30" s="31"/>
      <x:c r="B30" s="31"/>
      <x:c r="C30" s="31"/>
      <x:c r="D30" s="31"/>
      <x:c r="E30" s="31"/>
      <x:c r="F30" s="31"/>
      <x:c r="G30" s="31"/>
      <x:c r="H30" s="31"/>
    </x:row>
  </x:sheetData>
  <x:mergeCells>
    <x:mergeCell ref="A1:H1"/>
    <x:mergeCell ref="A3:H4"/>
    <x:mergeCell ref="A6:H6"/>
    <x:mergeCell ref="B8:C8"/>
    <x:mergeCell ref="D8:H8"/>
    <x:mergeCell ref="B11:C11"/>
    <x:mergeCell ref="D11:H11"/>
    <x:mergeCell ref="B14:C14"/>
    <x:mergeCell ref="D14:H14"/>
    <x:mergeCell ref="B17:C17"/>
    <x:mergeCell ref="D17:H17"/>
    <x:mergeCell ref="A21:H21"/>
    <x:mergeCell ref="A22:B22"/>
    <x:mergeCell ref="C22:H22"/>
    <x:mergeCell ref="A23:B23"/>
    <x:mergeCell ref="C23:H23"/>
    <x:mergeCell ref="A24:B24"/>
    <x:mergeCell ref="C24:H24"/>
    <x:mergeCell ref="A25:B25"/>
    <x:mergeCell ref="C25:H25"/>
    <x:mergeCell ref="A26:B26"/>
    <x:mergeCell ref="C26:H26"/>
    <x:mergeCell ref="A29:H3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34" hidden="0" customWidth="1"/>
    <x:col min="4" max="4" width="16" hidden="0" customWidth="1"/>
    <x:col min="5" max="5" width="23" hidden="0" customWidth="1"/>
    <x:col min="6" max="6" width="26" hidden="0" customWidth="1"/>
    <x:col min="7" max="7" width="48" hidden="0" customWidth="1"/>
    <x:col min="8" max="8" width="46" hidden="0" customWidth="1"/>
    <x:col min="9" max="9" width="42" hidden="0" customWidth="1"/>
    <x:col min="10" max="10" width="14" hidden="0" customWidth="1"/>
    <x:col min="11" max="11" width="12" hidden="0" customWidth="1"/>
    <x:col min="12" max="12" width="42" hidden="0" customWidth="1"/>
    <x:col min="13" max="13" width="14" hidden="0" customWidth="1"/>
    <x:col min="14" max="14" width="14" hidden="0" customWidth="1"/>
  </x:cols>
  <x:sheetData>
    <x:row r="1" ht="34" customHeight="1">
      <x:c r="A1" s="34" t="str">
        <x:v>01｜案例总表</x:v>
      </x:c>
      <x:c r="B1" s="34"/>
      <x:c r="C1" s="34"/>
      <x:c r="D1" s="34"/>
      <x:c r="E1" s="34"/>
      <x:c r="F1" s="34"/>
      <x:c r="G1" s="34"/>
      <x:c r="H1" s="34"/>
      <x:c r="I1" s="34"/>
      <x:c r="J1" s="34"/>
      <x:c r="K1" s="34"/>
      <x:c r="L1" s="34"/>
      <x:c r="M1" s="34"/>
      <x:c r="N1" s="34"/>
    </x:row>
    <x:row r="2" ht="30" customHeight="1">
      <x:c r="A2" s="36" t="str">
        <x:v>一行写清一个完整训练案例。先回答“谁在什么背景下，要完成什么真实商务任务”。</x:v>
      </x:c>
      <x:c r="B2" s="36"/>
      <x:c r="C2" s="36"/>
      <x:c r="D2" s="36"/>
      <x:c r="E2" s="36"/>
      <x:c r="F2" s="36"/>
      <x:c r="G2" s="36"/>
      <x:c r="H2" s="36"/>
      <x:c r="I2" s="36"/>
      <x:c r="J2" s="36"/>
      <x:c r="K2" s="36"/>
      <x:c r="L2" s="36"/>
      <x:c r="M2" s="36"/>
      <x:c r="N2" s="36"/>
    </x:row>
    <x:row r="3" ht="28" customHeight="1">
      <x:c r="A3" s="39" t="str">
        <x:v>本测试资产精确覆盖课程 2.1.0 的全部 20 个小节；案例编号只用于工作簿内引用。</x:v>
      </x:c>
      <x:c r="B3" s="39"/>
      <x:c r="C3" s="39"/>
      <x:c r="D3" s="39"/>
      <x:c r="E3" s="39"/>
      <x:c r="F3" s="39"/>
      <x:c r="G3" s="39"/>
      <x:c r="H3" s="39"/>
      <x:c r="I3" s="39"/>
      <x:c r="J3" s="39"/>
      <x:c r="K3" s="39"/>
      <x:c r="L3" s="39"/>
      <x:c r="M3" s="39"/>
      <x:c r="N3" s="39"/>
    </x:row>
    <x:row r="4">
      <x:c r="A4" s="32"/>
      <x:c r="B4" s="32"/>
      <x:c r="C4" s="32"/>
      <x:c r="D4" s="32"/>
      <x:c r="E4" s="32"/>
      <x:c r="F4" s="32"/>
      <x:c r="G4" s="32"/>
      <x:c r="H4" s="32"/>
      <x:c r="I4" s="32"/>
      <x:c r="J4" s="32"/>
      <x:c r="K4" s="32"/>
      <x:c r="L4" s="32"/>
      <x:c r="M4" s="32"/>
      <x:c r="N4" s="32"/>
    </x:row>
    <x:row r="5" ht="42" customHeight="1">
      <x:c r="A5" s="43" t="str">
        <x:v>案例编号（必填）</x:v>
      </x:c>
      <x:c r="B5" s="43" t="str">
        <x:v>案例名称（必填）</x:v>
      </x:c>
      <x:c r="C5" s="43" t="str">
        <x:v>对应课程小节（必填）</x:v>
      </x:c>
      <x:c r="D5" s="43" t="str">
        <x:v>训练方式（必填）</x:v>
      </x:c>
      <x:c r="E5" s="43" t="str">
        <x:v>学生角色（必填）</x:v>
      </x:c>
      <x:c r="F5" s="43" t="str">
        <x:v>AI 对手角色（必填）</x:v>
      </x:c>
      <x:c r="G5" s="43" t="str">
        <x:v>背景故事（必填）</x:v>
      </x:c>
      <x:c r="H5" s="43" t="str">
        <x:v>学生任务（必填）</x:v>
      </x:c>
      <x:c r="I5" s="43" t="str">
        <x:v>关键约束条件（必填）</x:v>
      </x:c>
      <x:c r="J5" s="43" t="str">
        <x:v>预计时长/分钟</x:v>
      </x:c>
      <x:c r="K5" s="43" t="str">
        <x:v>难度</x:v>
      </x:c>
      <x:c r="L5" s="43" t="str">
        <x:v>本案例核心成果（必填）</x:v>
      </x:c>
      <x:c r="M5" s="43" t="str">
        <x:v>状态</x:v>
      </x:c>
      <x:c r="N5" s="43" t="str">
        <x:v>填写检查</x:v>
      </x:c>
    </x:row>
    <x:row r="6" ht="96" customHeight="1">
      <x:c r="A6" s="46" t="str">
        <x:v>CASE-001</x:v>
      </x:c>
      <x:c r="B6" s="46" t="str">
        <x:v>初次接触并索取目录</x:v>
      </x:c>
      <x:c r="C6" s="46" t="str">
        <x:v>流程 0 · 绪论｜初次接触：索取目录</x:v>
      </x:c>
      <x:c r="D6" s="46" t="str">
        <x:v>商务邮件</x:v>
      </x:c>
      <x:c r="E6" s="46" t="str">
        <x:v>中国进口商业务助理</x:v>
      </x:c>
      <x:c r="F6" s="46" t="str">
        <x:v>NovaTech 海外业务经理（卖方）</x:v>
      </x:c>
      <x:c r="G6" s="46" t="str">
        <x:v>买方从行业展会名录获知 NovaTech，希望建立业务关系并获取 LED 显示模组目录与价目表。</x:v>
      </x:c>
      <x:c r="H6" s="46" t="str">
        <x:v>用规范商务函件说明信息来源、公司需求和合作意愿，明确索取目录、规格与价格资料。</x:v>
      </x:c>
      <x:c r="I6" s="46" t="str">
        <x:v>首次接触；不得夸大采购承诺；需使用完整邮件结构并保护公司敏感信息。</x:v>
      </x:c>
      <x:c r="J6" s="46" t="n">
        <x:v>20</x:v>
      </x:c>
      <x:c r="K6" s="46" t="str">
        <x:v>基础</x:v>
      </x:c>
      <x:c r="L6" s="46" t="str">
        <x:v>学生能以可信、礼貌且行动明确的首函开启后续业务沟通。</x:v>
      </x:c>
      <x:c r="M6" s="46" t="str">
        <x:v>可导入</x:v>
      </x:c>
      <x:c r="N6" s="50" t="str">
        <x:f>IF(AND(A6&lt;&gt;"",B6&lt;&gt;"",C6&lt;&gt;"",D6&lt;&gt;"",E6&lt;&gt;"",F6&lt;&gt;"",G6&lt;&gt;"",H6&lt;&gt;"",I6&lt;&gt;"",L6&lt;&gt;""),"完整","请补充")</x:f>
        <x:v>完整</x:v>
      </x:c>
    </x:row>
    <x:row r="7" ht="96" customHeight="1">
      <x:c r="A7" s="46" t="str">
        <x:v>CASE-002</x:v>
      </x:c>
      <x:c r="B7" s="46" t="str">
        <x:v>发出要素完整的具体询盘</x:v>
      </x:c>
      <x:c r="C7" s="46" t="str">
        <x:v>流程 1 · 询盘｜发出具体询盘</x:v>
      </x:c>
      <x:c r="D7" s="46" t="str">
        <x:v>商务邮件</x:v>
      </x:c>
      <x:c r="E7" s="46" t="str">
        <x:v>中国买方采购经理</x:v>
      </x:c>
      <x:c r="F7" s="46" t="str">
        <x:v>NovaTech 出口销售经理（卖方）</x:v>
      </x:c>
      <x:c r="G7" s="46" t="str">
        <x:v>买方已锁定 NT-IM250 型号，计划试购 800 件，需要取得可比较的价格与交易条件。</x:v>
      </x:c>
      <x:c r="H7" s="46" t="str">
        <x:v>就品名、规格、数量、CIF 上海价格、付款、交期和报价有效期发出具体询盘。</x:v>
      </x:c>
      <x:c r="I7" s="46" t="str">
        <x:v>800 件试单；CIF 上海；可接受即期 L/C；不得披露预算上限和最迟成交价。</x:v>
      </x:c>
      <x:c r="J7" s="46" t="n">
        <x:v>20</x:v>
      </x:c>
      <x:c r="K7" s="46" t="str">
        <x:v>标准</x:v>
      </x:c>
      <x:c r="L7" s="46" t="str">
        <x:v>学生能提出要素齐全、保留议价空间且足以推动正式报盘的询盘。</x:v>
      </x:c>
      <x:c r="M7" s="46" t="str">
        <x:v>可导入</x:v>
      </x:c>
      <x:c r="N7" s="50" t="str">
        <x:f>IF(AND(A7&lt;&gt;"",B7&lt;&gt;"",C7&lt;&gt;"",D7&lt;&gt;"",E7&lt;&gt;"",F7&lt;&gt;"",G7&lt;&gt;"",H7&lt;&gt;"",I7&lt;&gt;"",L7&lt;&gt;""),"完整","请补充")</x:f>
        <x:v>完整</x:v>
      </x:c>
    </x:row>
    <x:row r="8" ht="96" customHeight="1">
      <x:c r="A8" s="46" t="str">
        <x:v>CASE-003</x:v>
      </x:c>
      <x:c r="B8" s="46" t="str">
        <x:v>催询并进行条件探询</x:v>
      </x:c>
      <x:c r="C8" s="46" t="str">
        <x:v>流程 1 · 询盘｜催询与条件探询</x:v>
      </x:c>
      <x:c r="D8" s="46" t="str">
        <x:v>商务邮件</x:v>
      </x:c>
      <x:c r="E8" s="46" t="str">
        <x:v>中国买方采购经理</x:v>
      </x:c>
      <x:c r="F8" s="46" t="str">
        <x:v>NovaTech 出口销售经理（卖方）</x:v>
      </x:c>
      <x:c r="G8" s="46" t="str">
        <x:v>询盘发出五个工作日后仍未收到完整报价，卖方只追问更多采购信息。</x:v>
      </x:c>
      <x:c r="H8" s="46" t="str">
        <x:v>礼貌催复，选择性提供有助报价的信息，并换取对方发出正式报价的时间承诺。</x:v>
      </x:c>
      <x:c r="I8" s="46" t="str">
        <x:v>项目评审将在三天后；不得虚构紧急订单；可确认试单数量和付款偏好。</x:v>
      </x:c>
      <x:c r="J8" s="46" t="n">
        <x:v>20</x:v>
      </x:c>
      <x:c r="K8" s="46" t="str">
        <x:v>标准</x:v>
      </x:c>
      <x:c r="L8" s="46" t="str">
        <x:v>学生能控制催复节奏，以信息换信息推动卖方进入正式报盘。</x:v>
      </x:c>
      <x:c r="M8" s="46" t="str">
        <x:v>可导入</x:v>
      </x:c>
      <x:c r="N8" s="50" t="str">
        <x:f>IF(AND(A8&lt;&gt;"",B8&lt;&gt;"",C8&lt;&gt;"",D8&lt;&gt;"",E8&lt;&gt;"",F8&lt;&gt;"",G8&lt;&gt;"",H8&lt;&gt;"",I8&lt;&gt;"",L8&lt;&gt;""),"完整","请补充")</x:f>
        <x:v>完整</x:v>
      </x:c>
    </x:row>
    <x:row r="9" ht="96" customHeight="1">
      <x:c r="A9" s="46" t="str">
        <x:v>CASE-004</x:v>
      </x:c>
      <x:c r="B9" s="46" t="str">
        <x:v>识别虚盘并推动实盘</x:v>
      </x:c>
      <x:c r="C9" s="46" t="str">
        <x:v>流程 2 · 报盘｜应对虚盘</x:v>
      </x:c>
      <x:c r="D9" s="46" t="str">
        <x:v>谈判对话</x:v>
      </x:c>
      <x:c r="E9" s="46" t="str">
        <x:v>中国买方采购经理</x:v>
      </x:c>
      <x:c r="F9" s="46" t="str">
        <x:v>NovaTech 出口总监（卖方）</x:v>
      </x:c>
      <x:c r="G9" s="46" t="str">
        <x:v>卖方报 USD 290/件 CIF 上海，但写明 subject to final confirmation，且没有有效期。</x:v>
      </x:c>
      <x:c r="H9" s="46" t="str">
        <x:v>识别报价的承诺边界，礼貌要求条件完整、有效期明确的实盘，并初步表达价格保留。</x:v>
      </x:c>
      <x:c r="I9" s="46" t="str">
        <x:v>800 件；即期 L/C；不得把虚盘提交为已锁定价格。</x:v>
      </x:c>
      <x:c r="J9" s="46" t="n">
        <x:v>20</x:v>
      </x:c>
      <x:c r="K9" s="46" t="str">
        <x:v>标准</x:v>
      </x:c>
      <x:c r="L9" s="46" t="str">
        <x:v>学生能识别无约束报价并推动对方作出可依赖的正式承诺。</x:v>
      </x:c>
      <x:c r="M9" s="46" t="str">
        <x:v>可导入</x:v>
      </x:c>
      <x:c r="N9" s="50" t="str">
        <x:f>IF(AND(A9&lt;&gt;"",B9&lt;&gt;"",C9&lt;&gt;"",D9&lt;&gt;"",E9&lt;&gt;"",F9&lt;&gt;"",G9&lt;&gt;"",H9&lt;&gt;"",I9&lt;&gt;"",L9&lt;&gt;""),"完整","请补充")</x:f>
        <x:v>完整</x:v>
      </x:c>
    </x:row>
    <x:row r="10" ht="96" customHeight="1">
      <x:c r="A10" s="46" t="str">
        <x:v>CASE-005</x:v>
      </x:c>
      <x:c r="B10" s="46" t="str">
        <x:v>复核并回应条件完整的实盘</x:v>
      </x:c>
      <x:c r="C10" s="46" t="str">
        <x:v>流程 2 · 报盘｜接收实盘并理解其约束力</x:v>
      </x:c>
      <x:c r="D10" s="46" t="str">
        <x:v>谈判对话</x:v>
      </x:c>
      <x:c r="E10" s="46" t="str">
        <x:v>中国买方采购经理</x:v>
      </x:c>
      <x:c r="F10" s="46" t="str">
        <x:v>NovaTech 出口总监（卖方）</x:v>
      </x:c>
      <x:c r="G10" s="46" t="str">
        <x:v>卖方发出有效期 10 天的实盘，列明产品、800 件、USD 290 CIF 上海、即期 L/C 和 45 天装运。</x:v>
      </x:c>
      <x:c r="H10" s="46" t="str">
        <x:v>准确复核实盘要素和有效期，决定接受或还盘，并在期限内作出不歧义回应。</x:v>
      </x:c>
      <x:c r="I10" s="46" t="str">
        <x:v>接受期限按上海时间计算；任何实质变更可能构成还盘。</x:v>
      </x:c>
      <x:c r="J10" s="46" t="n">
        <x:v>20</x:v>
      </x:c>
      <x:c r="K10" s="46" t="str">
        <x:v>标准</x:v>
      </x:c>
      <x:c r="L10" s="46" t="str">
        <x:v>学生能把完整实盘转化为准确、及时且法律效果清楚的回应。</x:v>
      </x:c>
      <x:c r="M10" s="46" t="str">
        <x:v>可导入</x:v>
      </x:c>
      <x:c r="N10" s="50" t="str">
        <x:f>IF(AND(A10&lt;&gt;"",B10&lt;&gt;"",C10&lt;&gt;"",D10&lt;&gt;"",E10&lt;&gt;"",F10&lt;&gt;"",G10&lt;&gt;"",H10&lt;&gt;"",I10&lt;&gt;"",L10&lt;&gt;""),"完整","请补充")</x:f>
        <x:v>完整</x:v>
      </x:c>
    </x:row>
    <x:row r="11" ht="96" customHeight="1">
      <x:c r="A11" s="46" t="str">
        <x:v>CASE-006</x:v>
      </x:c>
      <x:c r="B11" s="46" t="str">
        <x:v>开展有依据的价格还盘</x:v>
      </x:c>
      <x:c r="C11" s="46" t="str">
        <x:v>流程 3 · 还盘｜价格还盘攻防</x:v>
      </x:c>
      <x:c r="D11" s="46" t="str">
        <x:v>谈判对话</x:v>
      </x:c>
      <x:c r="E11" s="46" t="str">
        <x:v>中国买方采购经理</x:v>
      </x:c>
      <x:c r="F11" s="46" t="str">
        <x:v>NovaTech 出口总监（卖方）</x:v>
      </x:c>
      <x:c r="G11" s="46" t="str">
        <x:v>卖方从 290 美元降至 285 美元后守价，买方以市场和订单规模为依据锚定 278 美元。</x:v>
      </x:c>
      <x:c r="H11" s="46" t="str">
        <x:v>提出有证据的价格还盘，管理锚点与让步，并把价格变化同可交换条件绑定。</x:v>
      </x:c>
      <x:c r="I11" s="46" t="str">
        <x:v>不得编造竞品报价；可讨论 1,200 件、付款节奏和售后支持。</x:v>
      </x:c>
      <x:c r="J11" s="46" t="n">
        <x:v>20</x:v>
      </x:c>
      <x:c r="K11" s="46" t="str">
        <x:v>挑战</x:v>
      </x:c>
      <x:c r="L11" s="46" t="str">
        <x:v>学生能用客观标准与条件交换缩小价格差距，而不是无理由压价。</x:v>
      </x:c>
      <x:c r="M11" s="46" t="str">
        <x:v>可导入</x:v>
      </x:c>
      <x:c r="N11" s="50" t="str">
        <x:f>IF(AND(A11&lt;&gt;"",B11&lt;&gt;"",C11&lt;&gt;"",D11&lt;&gt;"",E11&lt;&gt;"",F11&lt;&gt;"",G11&lt;&gt;"",H11&lt;&gt;"",I11&lt;&gt;"",L11&lt;&gt;""),"完整","请补充")</x:f>
        <x:v>完整</x:v>
      </x:c>
    </x:row>
    <x:row r="12" ht="96" customHeight="1">
      <x:c r="A12" s="46" t="str">
        <x:v>CASE-007</x:v>
      </x:c>
      <x:c r="B12" s="46" t="str">
        <x:v>就付款与交期开展多维磋商</x:v>
      </x:c>
      <x:c r="C12" s="46" t="str">
        <x:v>流程 3 · 还盘｜多维度磋商：付款与交期还盘</x:v>
      </x:c>
      <x:c r="D12" s="46" t="str">
        <x:v>谈判对话</x:v>
      </x:c>
      <x:c r="E12" s="46" t="str">
        <x:v>中国买方采购经理</x:v>
      </x:c>
      <x:c r="F12" s="46" t="str">
        <x:v>NovaTech 出口总监（卖方）</x:v>
      </x:c>
      <x:c r="G12" s="46" t="str">
        <x:v>价格接近成交，但买方希望 T/T 并缩短交期；卖方坚持即期 L/C 是首单风险底线。</x:v>
      </x:c>
      <x:c r="H12" s="46" t="str">
        <x:v>识别双方优先级，围绕付款安全、交期和数量设计可交换的成套方案。</x:v>
      </x:c>
      <x:c r="I12" s="46" t="str">
        <x:v>卖方不接受首单赊销；最快 38 天装运；买方项目节点为 45 天。</x:v>
      </x:c>
      <x:c r="J12" s="46" t="n">
        <x:v>20</x:v>
      </x:c>
      <x:c r="K12" s="46" t="str">
        <x:v>挑战</x:v>
      </x:c>
      <x:c r="L12" s="46" t="str">
        <x:v>学生能从立场转向利益，在不同议题间实现有条件交换。</x:v>
      </x:c>
      <x:c r="M12" s="46" t="str">
        <x:v>可导入</x:v>
      </x:c>
      <x:c r="N12" s="50" t="str">
        <x:f>IF(AND(A12&lt;&gt;"",B12&lt;&gt;"",C12&lt;&gt;"",D12&lt;&gt;"",E12&lt;&gt;"",F12&lt;&gt;"",G12&lt;&gt;"",H12&lt;&gt;"",I12&lt;&gt;"",L12&lt;&gt;""),"完整","请补充")</x:f>
        <x:v>完整</x:v>
      </x:c>
    </x:row>
    <x:row r="13" ht="96" customHeight="1">
      <x:c r="A13" s="46" t="str">
        <x:v>CASE-008</x:v>
      </x:c>
      <x:c r="B13" s="46" t="str">
        <x:v>用有条件接受完成终局成交</x:v>
      </x:c>
      <x:c r="C13" s="46" t="str">
        <x:v>流程 3 · 还盘｜终局博弈：有条件接受、反建议与成交</x:v>
      </x:c>
      <x:c r="D13" s="46" t="str">
        <x:v>谈判对话</x:v>
      </x:c>
      <x:c r="E13" s="46" t="str">
        <x:v>中国买方采购经理</x:v>
      </x:c>
      <x:c r="F13" s="46" t="str">
        <x:v>NovaTech 出口总监（卖方）</x:v>
      </x:c>
      <x:c r="G13" s="46" t="str">
        <x:v>卖方坚持最终价 285 美元，但可提供延长质保、备件和优先排产，双方需收束谈判。</x:v>
      </x:c>
      <x:c r="H13" s="46" t="str">
        <x:v>在接受核心价格的同时争取可量化增值，准确区分有条件接受与最终无条件接受。</x:v>
      </x:c>
      <x:c r="I13" s="46" t="str">
        <x:v>增值服务必须写入确认条款；不得以模糊口头承诺替代。</x:v>
      </x:c>
      <x:c r="J13" s="46" t="n">
        <x:v>20</x:v>
      </x:c>
      <x:c r="K13" s="46" t="str">
        <x:v>挑战</x:v>
      </x:c>
      <x:c r="L13" s="46" t="str">
        <x:v>学生能用价值创造和清晰收口实现可执行的双赢成交。</x:v>
      </x:c>
      <x:c r="M13" s="46" t="str">
        <x:v>可导入</x:v>
      </x:c>
      <x:c r="N13" s="50" t="str">
        <x:f>IF(AND(A13&lt;&gt;"",B13&lt;&gt;"",C13&lt;&gt;"",D13&lt;&gt;"",E13&lt;&gt;"",F13&lt;&gt;"",G13&lt;&gt;"",H13&lt;&gt;"",I13&lt;&gt;"",L13&lt;&gt;""),"完整","请补充")</x:f>
        <x:v>完整</x:v>
      </x:c>
    </x:row>
    <x:row r="14" ht="96" customHeight="1">
      <x:c r="A14" s="46" t="str">
        <x:v>CASE-009</x:v>
      </x:c>
      <x:c r="B14" s="46" t="str">
        <x:v>确认成交并拟备销售确认书</x:v>
      </x:c>
      <x:c r="C14" s="46" t="str">
        <x:v>流程 4 · 接受与订货｜确认成交与拟备销售确认书</x:v>
      </x:c>
      <x:c r="D14" s="46" t="str">
        <x:v>商务邮件</x:v>
      </x:c>
      <x:c r="E14" s="46" t="str">
        <x:v>中国买方采购经理</x:v>
      </x:c>
      <x:c r="F14" s="46" t="str">
        <x:v>NovaTech 合同经理（卖方）</x:v>
      </x:c>
      <x:c r="G14" s="46" t="str">
        <x:v>谈判已达成 800 件、USD 285 CIF 上海、即期 L/C、45 天装运及 24 个月质保等条件。</x:v>
      </x:c>
      <x:c r="H14" s="46" t="str">
        <x:v>在接受函中准确复述全部成交条款，请卖方拟备销售确认书并明确后续开证节点。</x:v>
      </x:c>
      <x:c r="I14" s="46" t="str">
        <x:v>任何条款偏差都应在签署前澄清；金额和日期必须核算。</x:v>
      </x:c>
      <x:c r="J14" s="46" t="n">
        <x:v>20</x:v>
      </x:c>
      <x:c r="K14" s="46" t="str">
        <x:v>标准</x:v>
      </x:c>
      <x:c r="L14" s="46" t="str">
        <x:v>学生能把谈判结果固化为准确、完整且可执行的书面订单。</x:v>
      </x:c>
      <x:c r="M14" s="46" t="str">
        <x:v>可导入</x:v>
      </x:c>
      <x:c r="N14" s="50" t="str">
        <x:f>IF(AND(A14&lt;&gt;"",B14&lt;&gt;"",C14&lt;&gt;"",D14&lt;&gt;"",E14&lt;&gt;"",F14&lt;&gt;"",G14&lt;&gt;"",H14&lt;&gt;"",I14&lt;&gt;"",L14&lt;&gt;""),"完整","请补充")</x:f>
        <x:v>完整</x:v>
      </x:c>
    </x:row>
    <x:row r="15" ht="96" customHeight="1">
      <x:c r="A15" s="46" t="str">
        <x:v>CASE-010</x:v>
      </x:c>
      <x:c r="B15" s="46" t="str">
        <x:v>专业催开信用证</x:v>
      </x:c>
      <x:c r="C15" s="46" t="str">
        <x:v>流程 4 · 接受与订货｜催开信用证</x:v>
      </x:c>
      <x:c r="D15" s="46" t="str">
        <x:v>商务邮件</x:v>
      </x:c>
      <x:c r="E15" s="46" t="str">
        <x:v>中国买方采购经理</x:v>
      </x:c>
      <x:c r="F15" s="46" t="str">
        <x:v>NovaTech 合同经理（卖方）</x:v>
      </x:c>
      <x:c r="G15" s="46" t="str">
        <x:v>合同约定收到信用证后 45 天装运，买方内部开证审批延迟，卖方提示排产窗口即将关闭。</x:v>
      </x:c>
      <x:c r="H15" s="46" t="str">
        <x:v>向内部和卖方确认开证安排，说明延迟对装运的影响，并核对开证行及关键证内条款。</x:v>
      </x:c>
      <x:c r="I15" s="46" t="str">
        <x:v>不得承诺无法保证的开证日期；所有时间节点需与装运期联动。</x:v>
      </x:c>
      <x:c r="J15" s="46" t="n">
        <x:v>20</x:v>
      </x:c>
      <x:c r="K15" s="46" t="str">
        <x:v>标准</x:v>
      </x:c>
      <x:c r="L15" s="46" t="str">
        <x:v>学生能以明确责任、期限和条款清单推动信用证按时开立。</x:v>
      </x:c>
      <x:c r="M15" s="46" t="str">
        <x:v>可导入</x:v>
      </x:c>
      <x:c r="N15" s="50" t="str">
        <x:f>IF(AND(A15&lt;&gt;"",B15&lt;&gt;"",C15&lt;&gt;"",D15&lt;&gt;"",E15&lt;&gt;"",F15&lt;&gt;"",G15&lt;&gt;"",H15&lt;&gt;"",I15&lt;&gt;"",L15&lt;&gt;""),"完整","请补充")</x:f>
        <x:v>完整</x:v>
      </x:c>
    </x:row>
    <x:row r="16" ht="96" customHeight="1">
      <x:c r="A16" s="46" t="str">
        <x:v>CASE-011</x:v>
      </x:c>
      <x:c r="B16" s="46" t="str">
        <x:v>磋商包装与运输唛头</x:v>
      </x:c>
      <x:c r="C16" s="46" t="str">
        <x:v>流程 5 · 包装与装运｜包装与唛头磋商</x:v>
      </x:c>
      <x:c r="D16" s="46" t="str">
        <x:v>谈判对话</x:v>
      </x:c>
      <x:c r="E16" s="46" t="str">
        <x:v>中国买方物流经理</x:v>
      </x:c>
      <x:c r="F16" s="46" t="str">
        <x:v>NovaTech 包装工程师（卖方）</x:v>
      </x:c>
      <x:c r="G16" s="46" t="str">
        <x:v>LED 模组对静电、潮湿和冲击敏感，卖方拟采用标准出口纸箱，但买方担心长途海运防护不足。</x:v>
      </x:c>
      <x:c r="H16" s="46" t="str">
        <x:v>提出与风险匹配的内外包装和唛头要求，在防护、成本和可操作性间取得平衡。</x:v>
      </x:c>
      <x:c r="I16" s="46" t="str">
        <x:v>不得要求无必要的过度包装；唛头需支持识别、装卸和目的港操作。</x:v>
      </x:c>
      <x:c r="J16" s="46" t="n">
        <x:v>20</x:v>
      </x:c>
      <x:c r="K16" s="46" t="str">
        <x:v>标准</x:v>
      </x:c>
      <x:c r="L16" s="46" t="str">
        <x:v>学生能形成要素完整、成本合理并可验收的包装与唛头条款。</x:v>
      </x:c>
      <x:c r="M16" s="46" t="str">
        <x:v>可导入</x:v>
      </x:c>
      <x:c r="N16" s="50" t="str">
        <x:f>IF(AND(A16&lt;&gt;"",B16&lt;&gt;"",C16&lt;&gt;"",D16&lt;&gt;"",E16&lt;&gt;"",F16&lt;&gt;"",G16&lt;&gt;"",H16&lt;&gt;"",I16&lt;&gt;"",L16&lt;&gt;""),"完整","请补充")</x:f>
        <x:v>完整</x:v>
      </x:c>
    </x:row>
    <x:row r="17" ht="96" customHeight="1">
      <x:c r="A17" s="46" t="str">
        <x:v>CASE-012</x:v>
      </x:c>
      <x:c r="B17" s="46" t="str">
        <x:v>磋商分批转船并催装</x:v>
      </x:c>
      <x:c r="C17" s="46" t="str">
        <x:v>流程 5 · 包装与装运｜分批/转船磋商与催装</x:v>
      </x:c>
      <x:c r="D17" s="46" t="str">
        <x:v>谈判对话</x:v>
      </x:c>
      <x:c r="E17" s="46" t="str">
        <x:v>中国买方物流经理</x:v>
      </x:c>
      <x:c r="F17" s="46" t="str">
        <x:v>NovaTech 出口物流经理（卖方）</x:v>
      </x:c>
      <x:c r="G17" s="46" t="str">
        <x:v>卖方因舱位提出分两批装运并在香港转船，买方项目要求一次到齐但可接受不延误总交期的转船。</x:v>
      </x:c>
      <x:c r="H17" s="46" t="str">
        <x:v>基于项目和信用证要求决定分批与转船条件，确认总交期并建立装运通知机制。</x:v>
      </x:c>
      <x:c r="I17" s="46" t="str">
        <x:v>买方拒绝分批；可接受香港转船；L/C 必须与最终安排一致。</x:v>
      </x:c>
      <x:c r="J17" s="46" t="n">
        <x:v>20</x:v>
      </x:c>
      <x:c r="K17" s="46" t="str">
        <x:v>挑战</x:v>
      </x:c>
      <x:c r="L17" s="46" t="str">
        <x:v>学生能把物流选择、信用证文本和项目风险联动起来。</x:v>
      </x:c>
      <x:c r="M17" s="46" t="str">
        <x:v>可导入</x:v>
      </x:c>
      <x:c r="N17" s="50" t="str">
        <x:f>IF(AND(A17&lt;&gt;"",B17&lt;&gt;"",C17&lt;&gt;"",D17&lt;&gt;"",E17&lt;&gt;"",F17&lt;&gt;"",G17&lt;&gt;"",H17&lt;&gt;"",I17&lt;&gt;"",L17&lt;&gt;""),"完整","请补充")</x:f>
        <x:v>完整</x:v>
      </x:c>
    </x:row>
    <x:row r="18" ht="96" customHeight="1">
      <x:c r="A18" s="46" t="str">
        <x:v>CASE-013</x:v>
      </x:c>
      <x:c r="B18" s="46" t="str">
        <x:v>审核信用证并处理改证</x:v>
      </x:c>
      <x:c r="C18" s="46" t="str">
        <x:v>流程 6 · 付款与交货｜信用证审核与改证</x:v>
      </x:c>
      <x:c r="D18" s="46" t="str">
        <x:v>单证审阅</x:v>
      </x:c>
      <x:c r="E18" s="46" t="str">
        <x:v>中国买方单证主管</x:v>
      </x:c>
      <x:c r="F18" s="46" t="str">
        <x:v>NovaTech 单证经理（卖方）</x:v>
      </x:c>
      <x:c r="G18" s="46" t="str">
        <x:v>卖方审证后提出修改转船、装运日、交单期和单据描述，其中有合理操作需要，也有超出合同的要求。</x:v>
      </x:c>
      <x:c r="H18" s="46" t="str">
        <x:v>逐项核对合同、UCP 600 和履约流程，接受必要改证，拒绝不合理要求并提出可执行文本。</x:v>
      </x:c>
      <x:c r="I18" s="46" t="str">
        <x:v>改证需保留版本和银行费用责任；不能让 LLM 决定合同义务。</x:v>
      </x:c>
      <x:c r="J18" s="46" t="n">
        <x:v>30</x:v>
      </x:c>
      <x:c r="K18" s="46" t="str">
        <x:v>挑战</x:v>
      </x:c>
      <x:c r="L18" s="46" t="str">
        <x:v>学生能产出依据明确、风险边界清楚的改证意见。</x:v>
      </x:c>
      <x:c r="M18" s="46" t="str">
        <x:v>可导入</x:v>
      </x:c>
      <x:c r="N18" s="50" t="str">
        <x:f>IF(AND(A18&lt;&gt;"",B18&lt;&gt;"",C18&lt;&gt;"",D18&lt;&gt;"",E18&lt;&gt;"",F18&lt;&gt;"",G18&lt;&gt;"",H18&lt;&gt;"",I18&lt;&gt;"",L18&lt;&gt;""),"完整","请补充")</x:f>
        <x:v>完整</x:v>
      </x:c>
    </x:row>
    <x:row r="19" ht="96" customHeight="1">
      <x:c r="A19" s="46" t="str">
        <x:v>CASE-014</x:v>
      </x:c>
      <x:c r="B19" s="46" t="str">
        <x:v>核对交单结汇与装运通知</x:v>
      </x:c>
      <x:c r="C19" s="46" t="str">
        <x:v>流程 6 · 付款与交货｜交单结汇与装运通知</x:v>
      </x:c>
      <x:c r="D19" s="46" t="str">
        <x:v>商务邮件</x:v>
      </x:c>
      <x:c r="E19" s="46" t="str">
        <x:v>中国买方单证主管</x:v>
      </x:c>
      <x:c r="F19" s="46" t="str">
        <x:v>NovaTech 单证经理（卖方）</x:v>
      </x:c>
      <x:c r="G19" s="46" t="str">
        <x:v>货物已装船，卖方发送装运通知并将单据交银行，买方需安排保险通知、清关、接货和信用证付款。</x:v>
      </x:c>
      <x:c r="H19" s="46" t="str">
        <x:v>核对装运详情和关键单据，指出缺失信息，协调接货并理解相符交单触发付款。</x:v>
      </x:c>
      <x:c r="I19" s="46" t="str">
        <x:v>不得因货物尚未到港而无依据拒付相符单据；发现疑点需保留核验。</x:v>
      </x:c>
      <x:c r="J19" s="46" t="n">
        <x:v>20</x:v>
      </x:c>
      <x:c r="K19" s="46" t="str">
        <x:v>标准</x:v>
      </x:c>
      <x:c r="L19" s="46" t="str">
        <x:v>学生能把装运信息、单据审核、到港准备和付款节点连成完整流程。</x:v>
      </x:c>
      <x:c r="M19" s="46" t="str">
        <x:v>可导入</x:v>
      </x:c>
      <x:c r="N19" s="50" t="str">
        <x:f>IF(AND(A19&lt;&gt;"",B19&lt;&gt;"",C19&lt;&gt;"",D19&lt;&gt;"",E19&lt;&gt;"",F19&lt;&gt;"",G19&lt;&gt;"",H19&lt;&gt;"",I19&lt;&gt;"",L19&lt;&gt;""),"完整","请补充")</x:f>
        <x:v>完整</x:v>
      </x:c>
    </x:row>
    <x:row r="20" ht="96" customHeight="1">
      <x:c r="A20" s="46" t="str">
        <x:v>CASE-015</x:v>
      </x:c>
      <x:c r="B20" s="46" t="str">
        <x:v>形成平衡的检验条款</x:v>
      </x:c>
      <x:c r="C20" s="46" t="str">
        <x:v>流程 7 · 商检、保险与仲裁｜检验条款磋商</x:v>
      </x:c>
      <x:c r="D20" s="46" t="str">
        <x:v>谈判对话</x:v>
      </x:c>
      <x:c r="E20" s="46" t="str">
        <x:v>中国买方质量经理</x:v>
      </x:c>
      <x:c r="F20" s="46" t="str">
        <x:v>NovaTech 质量总监（卖方）</x:v>
      </x:c>
      <x:c r="G20" s="46" t="str">
        <x:v>卖方主张装运港检验证书为最终依据，买方要求到货后仍可对隐蔽质量问题复验。</x:v>
      </x:c>
      <x:c r="H20" s="46" t="str">
        <x:v>磋商检验机构、标准、抽样、时限和复验范围，形成责任边界清楚的条款。</x:v>
      </x:c>
      <x:c r="I20" s="46" t="str">
        <x:v>复验权仅适用于合理范围和时限；运输损害不应混同制造缺陷。</x:v>
      </x:c>
      <x:c r="J20" s="46" t="n">
        <x:v>20</x:v>
      </x:c>
      <x:c r="K20" s="46" t="str">
        <x:v>挑战</x:v>
      </x:c>
      <x:c r="L20" s="46" t="str">
        <x:v>学生能用证据程序平衡卖方结算确定性与买方质量救济。</x:v>
      </x:c>
      <x:c r="M20" s="46" t="str">
        <x:v>可导入</x:v>
      </x:c>
      <x:c r="N20" s="50" t="str">
        <x:f>IF(AND(A20&lt;&gt;"",B20&lt;&gt;"",C20&lt;&gt;"",D20&lt;&gt;"",E20&lt;&gt;"",F20&lt;&gt;"",G20&lt;&gt;"",H20&lt;&gt;"",I20&lt;&gt;"",L20&lt;&gt;""),"完整","请补充")</x:f>
        <x:v>完整</x:v>
      </x:c>
    </x:row>
    <x:row r="21" ht="96" customHeight="1">
      <x:c r="A21" s="46" t="str">
        <x:v>CASE-016</x:v>
      </x:c>
      <x:c r="B21" s="46" t="str">
        <x:v>磋商保险险别与保费</x:v>
      </x:c>
      <x:c r="C21" s="46" t="str">
        <x:v>流程 7 · 商检、保险与仲裁｜投保险别磋商</x:v>
      </x:c>
      <x:c r="D21" s="46" t="str">
        <x:v>谈判对话</x:v>
      </x:c>
      <x:c r="E21" s="46" t="str">
        <x:v>中国买方风险经理</x:v>
      </x:c>
      <x:c r="F21" s="46" t="str">
        <x:v>NovaTech 出口总监（卖方）</x:v>
      </x:c>
      <x:c r="G21" s="46" t="str">
        <x:v>CIF 条件下卖方拟按 ICC(C) 投保，买方认为精密电子海运需 ICC(A) 并希望协商增量保费。</x:v>
      </x:c>
      <x:c r="H21" s="46" t="str">
        <x:v>比较险别覆盖与货物风险，确定保险金额、附加险和增量保费承担。</x:v>
      </x:c>
      <x:c r="I21" s="46" t="str">
        <x:v>必须区分 CIF 最低义务与双方可另行约定的更高保障。</x:v>
      </x:c>
      <x:c r="J21" s="46" t="n">
        <x:v>20</x:v>
      </x:c>
      <x:c r="K21" s="46" t="str">
        <x:v>挑战</x:v>
      </x:c>
      <x:c r="L21" s="46" t="str">
        <x:v>学生能以风险与成本证据做出知情投保决策。</x:v>
      </x:c>
      <x:c r="M21" s="46" t="str">
        <x:v>可导入</x:v>
      </x:c>
      <x:c r="N21" s="50" t="str">
        <x:f>IF(AND(A21&lt;&gt;"",B21&lt;&gt;"",C21&lt;&gt;"",D21&lt;&gt;"",E21&lt;&gt;"",F21&lt;&gt;"",G21&lt;&gt;"",H21&lt;&gt;"",I21&lt;&gt;"",L21&lt;&gt;""),"完整","请补充")</x:f>
        <x:v>完整</x:v>
      </x:c>
    </x:row>
    <x:row r="22" ht="96" customHeight="1">
      <x:c r="A22" s="46" t="str">
        <x:v>CASE-017</x:v>
      </x:c>
      <x:c r="B22" s="46" t="str">
        <x:v>磋商有效明确的仲裁条款</x:v>
      </x:c>
      <x:c r="C22" s="46" t="str">
        <x:v>流程 7 · 商检、保险与仲裁｜仲裁条款磋商</x:v>
      </x:c>
      <x:c r="D22" s="46" t="str">
        <x:v>谈判对话</x:v>
      </x:c>
      <x:c r="E22" s="46" t="str">
        <x:v>中国买方法务经理</x:v>
      </x:c>
      <x:c r="F22" s="46" t="str">
        <x:v>NovaTech 法务经理（卖方）</x:v>
      </x:c>
      <x:c r="G22" s="46" t="str">
        <x:v>合同草案写争议可提交仲裁或法院，双方又对仲裁机构和地点存在分歧。</x:v>
      </x:c>
      <x:c r="H22" s="46" t="str">
        <x:v>消除或裁或审的不确定，明确机构、地点、规则、语言和裁决效力，并评估中立性。</x:v>
      </x:c>
      <x:c r="I22" s="46" t="str">
        <x:v>不得把多个机构并列而不给选择机制；条款需具备可执行性。</x:v>
      </x:c>
      <x:c r="J22" s="46" t="n">
        <x:v>20</x:v>
      </x:c>
      <x:c r="K22" s="46" t="str">
        <x:v>挑战</x:v>
      </x:c>
      <x:c r="L22" s="46" t="str">
        <x:v>学生能形成唯一、完整并兼顾执行便利的仲裁约定。</x:v>
      </x:c>
      <x:c r="M22" s="46" t="str">
        <x:v>可导入</x:v>
      </x:c>
      <x:c r="N22" s="50" t="str">
        <x:f>IF(AND(A22&lt;&gt;"",B22&lt;&gt;"",C22&lt;&gt;"",D22&lt;&gt;"",E22&lt;&gt;"",F22&lt;&gt;"",G22&lt;&gt;"",H22&lt;&gt;"",I22&lt;&gt;"",L22&lt;&gt;""),"完整","请补充")</x:f>
        <x:v>完整</x:v>
      </x:c>
    </x:row>
    <x:row r="23" ht="96" customHeight="1">
      <x:c r="A23" s="46" t="str">
        <x:v>CASE-018</x:v>
      </x:c>
      <x:c r="B23" s="46" t="str">
        <x:v>提出证据链完整的质量索赔</x:v>
      </x:c>
      <x:c r="C23" s="46" t="str">
        <x:v>流程 8 · 投诉、索赔与理赔｜提出质量索赔</x:v>
      </x:c>
      <x:c r="D23" s="46" t="str">
        <x:v>商务邮件</x:v>
      </x:c>
      <x:c r="E23" s="46" t="str">
        <x:v>中国买方索赔负责人</x:v>
      </x:c>
      <x:c r="F23" s="46" t="str">
        <x:v>NovaTech 售后经理（卖方）</x:v>
      </x:c>
      <x:c r="G23" s="46" t="str">
        <x:v>到货后发现部分模组亮度不达标并有水渍，买方取得 CCIC 证书和照片，需要区分质量与运输损失。</x:v>
      </x:c>
      <x:c r="H23" s="46" t="str">
        <x:v>用事实、证据、合同依据、损失计算、责任切分和回应期限组成正式索赔函。</x:v>
      </x:c>
      <x:c r="I23" s="46" t="str">
        <x:v>制造缺陷向卖方主张；可保运输水渍按保险渠道处理；不得重复索赔。</x:v>
      </x:c>
      <x:c r="J23" s="46" t="n">
        <x:v>20</x:v>
      </x:c>
      <x:c r="K23" s="46" t="str">
        <x:v>挑战</x:v>
      </x:c>
      <x:c r="L23" s="46" t="str">
        <x:v>学生能提交可核验、归责准确且诉求可执行的英文索赔。</x:v>
      </x:c>
      <x:c r="M23" s="46" t="str">
        <x:v>可导入</x:v>
      </x:c>
      <x:c r="N23" s="50" t="str">
        <x:f>IF(AND(A23&lt;&gt;"",B23&lt;&gt;"",C23&lt;&gt;"",D23&lt;&gt;"",E23&lt;&gt;"",F23&lt;&gt;"",G23&lt;&gt;"",H23&lt;&gt;"",I23&lt;&gt;"",L23&lt;&gt;""),"完整","请补充")</x:f>
        <x:v>完整</x:v>
      </x:c>
    </x:row>
    <x:row r="24" ht="96" customHeight="1">
      <x:c r="A24" s="46" t="str">
        <x:v>CASE-019</x:v>
      </x:c>
      <x:c r="B24" s="46" t="str">
        <x:v>用证据应对卖方抗辩</x:v>
      </x:c>
      <x:c r="C24" s="46" t="str">
        <x:v>流程 8 · 投诉、索赔与理赔｜应对抗辩，证据反驳</x:v>
      </x:c>
      <x:c r="D24" s="46" t="str">
        <x:v>谈判对话</x:v>
      </x:c>
      <x:c r="E24" s="46" t="str">
        <x:v>中国买方索赔负责人</x:v>
      </x:c>
      <x:c r="F24" s="46" t="str">
        <x:v>NovaTech 售后经理（卖方）</x:v>
      </x:c>
      <x:c r="G24" s="46" t="str">
        <x:v>卖方认为缺陷在允许容差内、CCIC 抽样不足，并把水渍与亮度问题都归因于运输。</x:v>
      </x:c>
      <x:c r="H24" s="46" t="str">
        <x:v>拆解抗辩主张，用合同标准、抽样记录和因果证据逐项回应，同时保持专业理性。</x:v>
      </x:c>
      <x:c r="I24" s="46" t="str">
        <x:v>不能虚构证据；若证据不足，应提出联合复检而非强行定责。</x:v>
      </x:c>
      <x:c r="J24" s="46" t="n">
        <x:v>20</x:v>
      </x:c>
      <x:c r="K24" s="46" t="str">
        <x:v>挑战</x:v>
      </x:c>
      <x:c r="L24" s="46" t="str">
        <x:v>学生能以证据矩阵和清晰因果链反驳不当推诿。</x:v>
      </x:c>
      <x:c r="M24" s="46" t="str">
        <x:v>可导入</x:v>
      </x:c>
      <x:c r="N24" s="50" t="str">
        <x:f>IF(AND(A24&lt;&gt;"",B24&lt;&gt;"",C24&lt;&gt;"",D24&lt;&gt;"",E24&lt;&gt;"",F24&lt;&gt;"",G24&lt;&gt;"",H24&lt;&gt;"",I24&lt;&gt;"",L24&lt;&gt;""),"完整","请补充")</x:f>
        <x:v>完整</x:v>
      </x:c>
    </x:row>
    <x:row r="25" ht="96" customHeight="1">
      <x:c r="A25" s="46" t="str">
        <x:v>CASE-020</x:v>
      </x:c>
      <x:c r="B25" s="46" t="str">
        <x:v>谈成可执行的理赔和解</x:v>
      </x:c>
      <x:c r="C25" s="46" t="str">
        <x:v>流程 8 · 投诉、索赔与理赔｜理赔和解</x:v>
      </x:c>
      <x:c r="D25" s="46" t="str">
        <x:v>谈判对话</x:v>
      </x:c>
      <x:c r="E25" s="46" t="str">
        <x:v>中国买方索赔负责人</x:v>
      </x:c>
      <x:c r="F25" s="46" t="str">
        <x:v>NovaTech 商务总监（卖方）</x:v>
      </x:c>
      <x:c r="G25" s="46" t="str">
        <x:v>卖方不愿现金赔付，提出下批订单折扣、免费备件和延保，买方需比较实际价值并完成结案。</x:v>
      </x:c>
      <x:c r="H25" s="46" t="str">
        <x:v>把现金与非现金方案转化为可比较价值，设置履行条件、权利保留和结案文本，维护长期合作。</x:v>
      </x:c>
      <x:c r="I25" s="46" t="str">
        <x:v>未来订单折扣不得以无条件新增采购为前提；结案范围必须精确。</x:v>
      </x:c>
      <x:c r="J25" s="46" t="n">
        <x:v>20</x:v>
      </x:c>
      <x:c r="K25" s="46" t="str">
        <x:v>挑战</x:v>
      </x:c>
      <x:c r="L25" s="46" t="str">
        <x:v>学生能达成对己方有实质价值、可履行且关系可持续的和解。</x:v>
      </x:c>
      <x:c r="M25" s="46" t="str">
        <x:v>可导入</x:v>
      </x:c>
      <x:c r="N25" s="50" t="str">
        <x:f>IF(AND(A25&lt;&gt;"",B25&lt;&gt;"",C25&lt;&gt;"",D25&lt;&gt;"",E25&lt;&gt;"",F25&lt;&gt;"",G25&lt;&gt;"",H25&lt;&gt;"",I25&lt;&gt;"",L25&lt;&gt;""),"完整","请补充")</x:f>
        <x:v>完整</x:v>
      </x:c>
    </x:row>
  </x:sheetData>
  <x:mergeCells>
    <x:mergeCell ref="A1:N1"/>
    <x:mergeCell ref="A2:N2"/>
    <x:mergeCell ref="A3:N3"/>
  </x:mergeCells>
  <x:conditionalFormatting sqref="N6:N25">
    <x:cfRule type="containsText" dxfId="0" priority="1" operator="containsText" text="请补充"/>
    <x:cfRule type="containsText" dxfId="1" priority="2" operator="containsText" text="完整"/>
  </x:conditionalFormatting>
  <x:dataValidations count="3">
    <x:dataValidation type="list" sqref="D6:D25">
      <x:formula1>"谈判对话,商务邮件,单证审阅"</x:formula1>
    </x:dataValidation>
    <x:dataValidation type="list" sqref="K6:K25">
      <x:formula1>"基础,标准,挑战"</x:formula1>
    </x:dataValidation>
    <x:dataValidation type="list" sqref="M6:M25">
      <x:formula1>"草稿,待评审,可导入"</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14" hidden="0" customWidth="1"/>
    <x:col min="3" max="3" width="11" hidden="0" customWidth="1"/>
    <x:col min="4" max="4" width="48" hidden="0" customWidth="1"/>
    <x:col min="5" max="5" width="48" hidden="0" customWidth="1"/>
    <x:col min="6" max="6" width="44" hidden="0" customWidth="1"/>
    <x:col min="7" max="7" width="14" hidden="0" customWidth="1"/>
    <x:col min="8" max="8" width="18" hidden="0" customWidth="1"/>
    <x:col min="9" max="9" width="14" hidden="0" customWidth="1"/>
  </x:cols>
  <x:sheetData>
    <x:row r="1" ht="34" customHeight="1">
      <x:c r="A1" s="34" t="str">
        <x:v>02｜关键局面</x:v>
      </x:c>
      <x:c r="B1" s="34"/>
      <x:c r="C1" s="34"/>
      <x:c r="D1" s="34"/>
      <x:c r="E1" s="34"/>
      <x:c r="F1" s="34"/>
      <x:c r="G1" s="34"/>
      <x:c r="H1" s="34"/>
      <x:c r="I1" s="34"/>
    </x:row>
    <x:row r="2" ht="30" customHeight="1">
      <x:c r="A2" s="36" t="str">
        <x:v>把案例拆成学生在训练中真正会遇到的商务事件或语言信号。一个案例配置两个可观察局面。</x:v>
      </x:c>
      <x:c r="B2" s="36"/>
      <x:c r="C2" s="36"/>
      <x:c r="D2" s="36"/>
      <x:c r="E2" s="36"/>
      <x:c r="F2" s="36"/>
      <x:c r="G2" s="36"/>
      <x:c r="H2" s="36"/>
      <x:c r="I2" s="36"/>
    </x:row>
    <x:row r="3" ht="28" customHeight="1">
      <x:c r="A3" s="39" t="str">
        <x:v>“学生会看到/听到什么”写信号，“教师希望识别什么”写判断，不写抽象知识点标题。</x:v>
      </x:c>
      <x:c r="B3" s="39"/>
      <x:c r="C3" s="39"/>
      <x:c r="D3" s="39"/>
      <x:c r="E3" s="39"/>
      <x:c r="F3" s="39"/>
      <x:c r="G3" s="39"/>
      <x:c r="H3" s="39"/>
      <x:c r="I3" s="39"/>
    </x:row>
    <x:row r="4">
      <x:c r="A4" s="32"/>
      <x:c r="B4" s="32"/>
      <x:c r="C4" s="32"/>
      <x:c r="D4" s="32"/>
      <x:c r="E4" s="32"/>
      <x:c r="F4" s="32"/>
      <x:c r="G4" s="32"/>
      <x:c r="H4" s="32"/>
      <x:c r="I4" s="32"/>
    </x:row>
    <x:row r="5" ht="42" customHeight="1">
      <x:c r="A5" s="43" t="str">
        <x:v>案例编号（必填）</x:v>
      </x:c>
      <x:c r="B5" s="43" t="str">
        <x:v>局面编号（必填）</x:v>
      </x:c>
      <x:c r="C5" s="43" t="str">
        <x:v>出现顺序</x:v>
      </x:c>
      <x:c r="D5" s="43" t="str">
        <x:v>学生会看到/听到什么（必填）</x:v>
      </x:c>
      <x:c r="E5" s="43" t="str">
        <x:v>教师希望学生识别什么（必填）</x:v>
      </x:c>
      <x:c r="F5" s="43" t="str">
        <x:v>不识别的业务后果（必填）</x:v>
      </x:c>
      <x:c r="G5" s="43" t="str">
        <x:v>必须出现？</x:v>
      </x:c>
      <x:c r="H5" s="43" t="str">
        <x:v>可由 AI 动态触发？</x:v>
      </x:c>
      <x:c r="I5" s="43" t="str">
        <x:v>填写检查</x:v>
      </x:c>
    </x:row>
    <x:row r="6" ht="70" customHeight="1">
      <x:c r="A6" s="46" t="str">
        <x:v>CASE-001</x:v>
      </x:c>
      <x:c r="B6" s="46" t="str">
        <x:v>S1</x:v>
      </x:c>
      <x:c r="C6" s="46" t="n">
        <x:v>1</x:v>
      </x:c>
      <x:c r="D6" s="46" t="str">
        <x:v>双方从未联系，收件人无法判断来函者身份、信息来源和真实需求。</x:v>
      </x:c>
      <x:c r="E6" s="46" t="str">
        <x:v>首函必须先建立身份可信度，再提出资料请求。</x:v>
      </x:c>
      <x:c r="F6" s="46" t="str">
        <x:v>来函像群发广告，卖方可能忽略或拒绝提供资料。</x:v>
      </x:c>
      <x:c r="G6" s="46" t="str">
        <x:v>是</x:v>
      </x:c>
      <x:c r="H6" s="46" t="str">
        <x:v>否</x:v>
      </x:c>
      <x:c r="I6" s="50" t="str">
        <x:f>IF(AND(A6&lt;&gt;"",B6&lt;&gt;"",D6&lt;&gt;"",E6&lt;&gt;"",F6&lt;&gt;""),"完整","请补充")</x:f>
        <x:v>完整</x:v>
      </x:c>
    </x:row>
    <x:row r="7" ht="70" customHeight="1">
      <x:c r="A7" s="46" t="str">
        <x:v>CASE-001</x:v>
      </x:c>
      <x:c r="B7" s="46" t="str">
        <x:v>S2</x:v>
      </x:c>
      <x:c r="C7" s="46" t="n">
        <x:v>2</x:v>
      </x:c>
      <x:c r="D7" s="46" t="str">
        <x:v>卖方愿意发送资料，但先追问公司背景、目标市场和预计采购规模。</x:v>
      </x:c>
      <x:c r="E7" s="46" t="str">
        <x:v>可用可核实信息证明诚意，同时避免作出未经授权的数量承诺。</x:v>
      </x:c>
      <x:c r="F7" s="46" t="str">
        <x:v>披露过多底牌或夸大需求，损害后续谈判可信度。</x:v>
      </x:c>
      <x:c r="G7" s="46" t="str">
        <x:v>是</x:v>
      </x:c>
      <x:c r="H7" s="46" t="str">
        <x:v>是</x:v>
      </x:c>
      <x:c r="I7" s="50" t="str">
        <x:f>IF(AND(A7&lt;&gt;"",B7&lt;&gt;"",D7&lt;&gt;"",E7&lt;&gt;"",F7&lt;&gt;""),"完整","请补充")</x:f>
        <x:v>完整</x:v>
      </x:c>
    </x:row>
    <x:row r="8" ht="70" customHeight="1">
      <x:c r="A8" s="46" t="str">
        <x:v>CASE-002</x:v>
      </x:c>
      <x:c r="B8" s="46" t="str">
        <x:v>S1</x:v>
      </x:c>
      <x:c r="C8" s="46" t="n">
        <x:v>1</x:v>
      </x:c>
      <x:c r="D8" s="46" t="str">
        <x:v>卖方收到询盘，但品名、数量或贸易术语不完整，无法形成可比较报价。</x:v>
      </x:c>
      <x:c r="E8" s="46" t="str">
        <x:v>具体询盘必须提供足以报价的交易要素。</x:v>
      </x:c>
      <x:c r="F8" s="46" t="str">
        <x:v>卖方反复追问，延误报价且不同供应商报价不可比。</x:v>
      </x:c>
      <x:c r="G8" s="46" t="str">
        <x:v>是</x:v>
      </x:c>
      <x:c r="H8" s="46" t="str">
        <x:v>否</x:v>
      </x:c>
      <x:c r="I8" s="50" t="str">
        <x:f>IF(AND(A8&lt;&gt;"",B8&lt;&gt;"",D8&lt;&gt;"",E8&lt;&gt;"",F8&lt;&gt;""),"完整","请补充")</x:f>
        <x:v>完整</x:v>
      </x:c>
    </x:row>
    <x:row r="9" ht="70" customHeight="1">
      <x:c r="A9" s="46" t="str">
        <x:v>CASE-002</x:v>
      </x:c>
      <x:c r="B9" s="46" t="str">
        <x:v>S2</x:v>
      </x:c>
      <x:c r="C9" s="46" t="n">
        <x:v>2</x:v>
      </x:c>
      <x:c r="D9" s="46" t="str">
        <x:v>卖方询问买方预算上限和最晚到货日期，并暗示否则无法给优惠价。</x:v>
      </x:c>
      <x:c r="E9" s="46" t="str">
        <x:v>询盘阶段应控制敏感信息，只披露能换取报价的必要条件。</x:v>
      </x:c>
      <x:c r="F9" s="46" t="str">
        <x:v>过早暴露底牌导致卖方贴近预算定价。</x:v>
      </x:c>
      <x:c r="G9" s="46" t="str">
        <x:v>是</x:v>
      </x:c>
      <x:c r="H9" s="46" t="str">
        <x:v>是</x:v>
      </x:c>
      <x:c r="I9" s="50" t="str">
        <x:f>IF(AND(A9&lt;&gt;"",B9&lt;&gt;"",D9&lt;&gt;"",E9&lt;&gt;"",F9&lt;&gt;""),"完整","请补充")</x:f>
        <x:v>完整</x:v>
      </x:c>
    </x:row>
    <x:row r="10" ht="70" customHeight="1">
      <x:c r="A10" s="46" t="str">
        <x:v>CASE-003</x:v>
      </x:c>
      <x:c r="B10" s="46" t="str">
        <x:v>S1</x:v>
      </x:c>
      <x:c r="C10" s="46" t="n">
        <x:v>1</x:v>
      </x:c>
      <x:c r="D10" s="46" t="str">
        <x:v>卖方迟迟未回复原询盘，买方内部评审时间临近。</x:v>
      </x:c>
      <x:c r="E10" s="46" t="str">
        <x:v>需要设置明确而合理的回复节点，而不是情绪化催促。</x:v>
      </x:c>
      <x:c r="F10" s="46" t="str">
        <x:v>采购评审缺少报价，项目节奏失控。</x:v>
      </x:c>
      <x:c r="G10" s="46" t="str">
        <x:v>是</x:v>
      </x:c>
      <x:c r="H10" s="46" t="str">
        <x:v>否</x:v>
      </x:c>
      <x:c r="I10" s="50" t="str">
        <x:f>IF(AND(A10&lt;&gt;"",B10&lt;&gt;"",D10&lt;&gt;"",E10&lt;&gt;"",F10&lt;&gt;""),"完整","请补充")</x:f>
        <x:v>完整</x:v>
      </x:c>
    </x:row>
    <x:row r="11" ht="70" customHeight="1">
      <x:c r="A11" s="46" t="str">
        <x:v>CASE-003</x:v>
      </x:c>
      <x:c r="B11" s="46" t="str">
        <x:v>S2</x:v>
      </x:c>
      <x:c r="C11" s="46" t="n">
        <x:v>2</x:v>
      </x:c>
      <x:c r="D11" s="46" t="str">
        <x:v>卖方表示只有获知年度需求、预算和竞争供应商后才会正式报价。</x:v>
      </x:c>
      <x:c r="E11" s="46" t="str">
        <x:v>对方在测试买方信息边界，应把披露与对等回报绑定。</x:v>
      </x:c>
      <x:c r="F11" s="46" t="str">
        <x:v>买方底牌被单向收集，却仍得不到正式报价。</x:v>
      </x:c>
      <x:c r="G11" s="46" t="str">
        <x:v>是</x:v>
      </x:c>
      <x:c r="H11" s="46" t="str">
        <x:v>是</x:v>
      </x:c>
      <x:c r="I11" s="50" t="str">
        <x:f>IF(AND(A11&lt;&gt;"",B11&lt;&gt;"",D11&lt;&gt;"",E11&lt;&gt;"",F11&lt;&gt;""),"完整","请补充")</x:f>
        <x:v>完整</x:v>
      </x:c>
    </x:row>
    <x:row r="12" ht="70" customHeight="1">
      <x:c r="A12" s="46" t="str">
        <x:v>CASE-004</x:v>
      </x:c>
      <x:c r="B12" s="46" t="str">
        <x:v>S1</x:v>
      </x:c>
      <x:c r="C12" s="46" t="n">
        <x:v>1</x:v>
      </x:c>
      <x:c r="D12" s="46" t="str">
        <x:v>报价出现 subject to final confirmation，卖方仍称其为 offer。</x:v>
      </x:c>
      <x:c r="E12" s="46" t="str">
        <x:v>保留语使当前报价缺少明确受约束意旨。</x:v>
      </x:c>
      <x:c r="F12" s="46" t="str">
        <x:v>买方可能基于不可依赖价格作出审批和承诺。</x:v>
      </x:c>
      <x:c r="G12" s="46" t="str">
        <x:v>是</x:v>
      </x:c>
      <x:c r="H12" s="46" t="str">
        <x:v>否</x:v>
      </x:c>
      <x:c r="I12" s="50" t="str">
        <x:f>IF(AND(A12&lt;&gt;"",B12&lt;&gt;"",D12&lt;&gt;"",E12&lt;&gt;"",F12&lt;&gt;""),"完整","请补充")</x:f>
        <x:v>完整</x:v>
      </x:c>
    </x:row>
    <x:row r="13" ht="70" customHeight="1">
      <x:c r="A13" s="46" t="str">
        <x:v>CASE-004</x:v>
      </x:c>
      <x:c r="B13" s="46" t="str">
        <x:v>S2</x:v>
      </x:c>
      <x:c r="C13" s="46" t="n">
        <x:v>2</x:v>
      </x:c>
      <x:c r="D13" s="46" t="str">
        <x:v>卖方回避有效期，只表示价格随市场变化并可随时确认。</x:v>
      </x:c>
      <x:c r="E13" s="46" t="str">
        <x:v>缺少有效期会放大采购决策和市场波动风险。</x:v>
      </x:c>
      <x:c r="F13" s="46" t="str">
        <x:v>买方无法安排接受、还盘和内部审批。</x:v>
      </x:c>
      <x:c r="G13" s="46" t="str">
        <x:v>是</x:v>
      </x:c>
      <x:c r="H13" s="46" t="str">
        <x:v>是</x:v>
      </x:c>
      <x:c r="I13" s="50" t="str">
        <x:f>IF(AND(A13&lt;&gt;"",B13&lt;&gt;"",D13&lt;&gt;"",E13&lt;&gt;"",F13&lt;&gt;""),"完整","请补充")</x:f>
        <x:v>完整</x:v>
      </x:c>
    </x:row>
    <x:row r="14" ht="70" customHeight="1">
      <x:c r="A14" s="46" t="str">
        <x:v>CASE-005</x:v>
      </x:c>
      <x:c r="B14" s="46" t="str">
        <x:v>S1</x:v>
      </x:c>
      <x:c r="C14" s="46" t="n">
        <x:v>1</x:v>
      </x:c>
      <x:c r="D14" s="46" t="str">
        <x:v>卖方报盘包含价格、数量、付款、装运和有效期，但学生容易遗漏条件联动。</x:v>
      </x:c>
      <x:c r="E14" s="46" t="str">
        <x:v>实盘应逐项复核，不能只关注单价。</x:v>
      </x:c>
      <x:c r="F14" s="46" t="str">
        <x:v>遗漏条款可能造成错误接受或后续履约争议。</x:v>
      </x:c>
      <x:c r="G14" s="46" t="str">
        <x:v>是</x:v>
      </x:c>
      <x:c r="H14" s="46" t="str">
        <x:v>否</x:v>
      </x:c>
      <x:c r="I14" s="50" t="str">
        <x:f>IF(AND(A14&lt;&gt;"",B14&lt;&gt;"",D14&lt;&gt;"",E14&lt;&gt;"",F14&lt;&gt;""),"完整","请补充")</x:f>
        <x:v>完整</x:v>
      </x:c>
    </x:row>
    <x:row r="15" ht="70" customHeight="1">
      <x:c r="A15" s="46" t="str">
        <x:v>CASE-005</x:v>
      </x:c>
      <x:c r="B15" s="46" t="str">
        <x:v>S2</x:v>
      </x:c>
      <x:c r="C15" s="46" t="n">
        <x:v>2</x:v>
      </x:c>
      <x:c r="D15" s="46" t="str">
        <x:v>有效期临近，买方想修改交期同时写 We accept your offer。</x:v>
      </x:c>
      <x:c r="E15" s="46" t="str">
        <x:v>对实质条件的修改通常是还盘，不能与无条件接受混写。</x:v>
      </x:c>
      <x:c r="F15" s="46" t="str">
        <x:v>双方对合同是否成立产生相反理解。</x:v>
      </x:c>
      <x:c r="G15" s="46" t="str">
        <x:v>是</x:v>
      </x:c>
      <x:c r="H15" s="46" t="str">
        <x:v>是</x:v>
      </x:c>
      <x:c r="I15" s="50" t="str">
        <x:f>IF(AND(A15&lt;&gt;"",B15&lt;&gt;"",D15&lt;&gt;"",E15&lt;&gt;"",F15&lt;&gt;""),"完整","请补充")</x:f>
        <x:v>完整</x:v>
      </x:c>
    </x:row>
    <x:row r="16" ht="70" customHeight="1">
      <x:c r="A16" s="46" t="str">
        <x:v>CASE-006</x:v>
      </x:c>
      <x:c r="B16" s="46" t="str">
        <x:v>S1</x:v>
      </x:c>
      <x:c r="C16" s="46" t="n">
        <x:v>1</x:v>
      </x:c>
      <x:c r="D16" s="46" t="str">
        <x:v>卖方要求说明 278 美元的依据，并质疑买方只是压价。</x:v>
      </x:c>
      <x:c r="E16" s="46" t="str">
        <x:v>价格主张需要可核实标准和合理区间。</x:v>
      </x:c>
      <x:c r="F16" s="46" t="str">
        <x:v>无依据压价损害可信度并使谈判僵化。</x:v>
      </x:c>
      <x:c r="G16" s="46" t="str">
        <x:v>是</x:v>
      </x:c>
      <x:c r="H16" s="46" t="str">
        <x:v>否</x:v>
      </x:c>
      <x:c r="I16" s="50" t="str">
        <x:f>IF(AND(A16&lt;&gt;"",B16&lt;&gt;"",D16&lt;&gt;"",E16&lt;&gt;"",F16&lt;&gt;""),"完整","请补充")</x:f>
        <x:v>完整</x:v>
      </x:c>
    </x:row>
    <x:row r="17" ht="70" customHeight="1">
      <x:c r="A17" s="46" t="str">
        <x:v>CASE-006</x:v>
      </x:c>
      <x:c r="B17" s="46" t="str">
        <x:v>S2</x:v>
      </x:c>
      <x:c r="C17" s="46" t="n">
        <x:v>2</x:v>
      </x:c>
      <x:c r="D17" s="46" t="str">
        <x:v>卖方表示 285 美元已是底价，但愿意讨论数量、交期或服务。</x:v>
      </x:c>
      <x:c r="E17" s="46" t="str">
        <x:v>价格空间有限时应转向多议题价值交换。</x:v>
      </x:c>
      <x:c r="F17" s="46" t="str">
        <x:v>只盯单价会错失等值利益和成交机会。</x:v>
      </x:c>
      <x:c r="G17" s="46" t="str">
        <x:v>是</x:v>
      </x:c>
      <x:c r="H17" s="46" t="str">
        <x:v>是</x:v>
      </x:c>
      <x:c r="I17" s="50" t="str">
        <x:f>IF(AND(A17&lt;&gt;"",B17&lt;&gt;"",D17&lt;&gt;"",E17&lt;&gt;"",F17&lt;&gt;""),"完整","请补充")</x:f>
        <x:v>完整</x:v>
      </x:c>
    </x:row>
    <x:row r="18" ht="70" customHeight="1">
      <x:c r="A18" s="46" t="str">
        <x:v>CASE-007</x:v>
      </x:c>
      <x:c r="B18" s="46" t="str">
        <x:v>S1</x:v>
      </x:c>
      <x:c r="C18" s="46" t="n">
        <x:v>1</x:v>
      </x:c>
      <x:c r="D18" s="46" t="str">
        <x:v>卖方拒绝 T/T 后付款，强调首单信用风险，坚持即期 L/C。</x:v>
      </x:c>
      <x:c r="E18" s="46" t="str">
        <x:v>付款方式背后是信用与收款安全，不只是习惯偏好。</x:v>
      </x:c>
      <x:c r="F18" s="46" t="str">
        <x:v>持续争论立场会耗尽信任且无法推进。</x:v>
      </x:c>
      <x:c r="G18" s="46" t="str">
        <x:v>是</x:v>
      </x:c>
      <x:c r="H18" s="46" t="str">
        <x:v>否</x:v>
      </x:c>
      <x:c r="I18" s="50" t="str">
        <x:f>IF(AND(A18&lt;&gt;"",B18&lt;&gt;"",D18&lt;&gt;"",E18&lt;&gt;"",F18&lt;&gt;""),"完整","请补充")</x:f>
        <x:v>完整</x:v>
      </x:c>
    </x:row>
    <x:row r="19" ht="70" customHeight="1">
      <x:c r="A19" s="46" t="str">
        <x:v>CASE-007</x:v>
      </x:c>
      <x:c r="B19" s="46" t="str">
        <x:v>S2</x:v>
      </x:c>
      <x:c r="C19" s="46" t="n">
        <x:v>2</x:v>
      </x:c>
      <x:c r="D19" s="46" t="str">
        <x:v>卖方可缩短交期，但要求提高数量或接受部分装运。</x:v>
      </x:c>
      <x:c r="E19" s="46" t="str">
        <x:v>交期改善需要评估数量、库存和履约风险的联动。</x:v>
      </x:c>
      <x:c r="F19" s="46" t="str">
        <x:v>为追求快交而接受不可控分批，可能破坏项目计划。</x:v>
      </x:c>
      <x:c r="G19" s="46" t="str">
        <x:v>是</x:v>
      </x:c>
      <x:c r="H19" s="46" t="str">
        <x:v>是</x:v>
      </x:c>
      <x:c r="I19" s="50" t="str">
        <x:f>IF(AND(A19&lt;&gt;"",B19&lt;&gt;"",D19&lt;&gt;"",E19&lt;&gt;"",F19&lt;&gt;""),"完整","请补充")</x:f>
        <x:v>完整</x:v>
      </x:c>
    </x:row>
    <x:row r="20" ht="70" customHeight="1">
      <x:c r="A20" s="46" t="str">
        <x:v>CASE-008</x:v>
      </x:c>
      <x:c r="B20" s="46" t="str">
        <x:v>S1</x:v>
      </x:c>
      <x:c r="C20" s="46" t="n">
        <x:v>1</x:v>
      </x:c>
      <x:c r="D20" s="46" t="str">
        <x:v>卖方称 285 美元为 final price，价格议题已接近极限。</x:v>
      </x:c>
      <x:c r="E20" s="46" t="str">
        <x:v>终局应判断继续压价的边际收益与关系成本。</x:v>
      </x:c>
      <x:c r="F20" s="46" t="str">
        <x:v>过度施压可能使已成熟的交易破裂。</x:v>
      </x:c>
      <x:c r="G20" s="46" t="str">
        <x:v>是</x:v>
      </x:c>
      <x:c r="H20" s="46" t="str">
        <x:v>否</x:v>
      </x:c>
      <x:c r="I20" s="50" t="str">
        <x:f>IF(AND(A20&lt;&gt;"",B20&lt;&gt;"",D20&lt;&gt;"",E20&lt;&gt;"",F20&lt;&gt;""),"完整","请补充")</x:f>
        <x:v>完整</x:v>
      </x:c>
    </x:row>
    <x:row r="21" ht="70" customHeight="1">
      <x:c r="A21" s="46" t="str">
        <x:v>CASE-008</x:v>
      </x:c>
      <x:c r="B21" s="46" t="str">
        <x:v>S2</x:v>
      </x:c>
      <x:c r="C21" s="46" t="n">
        <x:v>2</x:v>
      </x:c>
      <x:c r="D21" s="46" t="str">
        <x:v>卖方口头同意延保和备件，但未说明数量、期限或写入文件。</x:v>
      </x:c>
      <x:c r="E21" s="46" t="str">
        <x:v>非价格价值只有被具体化并纳入条款才可执行。</x:v>
      </x:c>
      <x:c r="F21" s="46" t="str">
        <x:v>成交后双方对增值承诺理解不一。</x:v>
      </x:c>
      <x:c r="G21" s="46" t="str">
        <x:v>是</x:v>
      </x:c>
      <x:c r="H21" s="46" t="str">
        <x:v>是</x:v>
      </x:c>
      <x:c r="I21" s="50" t="str">
        <x:f>IF(AND(A21&lt;&gt;"",B21&lt;&gt;"",D21&lt;&gt;"",E21&lt;&gt;"",F21&lt;&gt;""),"完整","请补充")</x:f>
        <x:v>完整</x:v>
      </x:c>
    </x:row>
    <x:row r="22" ht="70" customHeight="1">
      <x:c r="A22" s="46" t="str">
        <x:v>CASE-009</x:v>
      </x:c>
      <x:c r="B22" s="46" t="str">
        <x:v>S1</x:v>
      </x:c>
      <x:c r="C22" s="46" t="n">
        <x:v>1</x:v>
      </x:c>
      <x:c r="D22" s="46" t="str">
        <x:v>双方在多轮消息中分别谈妥价格、数量、质保和交期，尚无统一条款清单。</x:v>
      </x:c>
      <x:c r="E22" s="46" t="str">
        <x:v>成交前需形成单一、完整的共同理解。</x:v>
      </x:c>
      <x:c r="F22" s="46" t="str">
        <x:v>遗漏增值或条件冲突会进入合同。</x:v>
      </x:c>
      <x:c r="G22" s="46" t="str">
        <x:v>是</x:v>
      </x:c>
      <x:c r="H22" s="46" t="str">
        <x:v>否</x:v>
      </x:c>
      <x:c r="I22" s="50" t="str">
        <x:f>IF(AND(A22&lt;&gt;"",B22&lt;&gt;"",D22&lt;&gt;"",E22&lt;&gt;"",F22&lt;&gt;""),"完整","请补充")</x:f>
        <x:v>完整</x:v>
      </x:c>
    </x:row>
    <x:row r="23" ht="70" customHeight="1">
      <x:c r="A23" s="46" t="str">
        <x:v>CASE-009</x:v>
      </x:c>
      <x:c r="B23" s="46" t="str">
        <x:v>S2</x:v>
      </x:c>
      <x:c r="C23" s="46" t="n">
        <x:v>2</x:v>
      </x:c>
      <x:c r="D23" s="46" t="str">
        <x:v>卖方发来销售确认书草稿，其中装运期或质保与谈判结果不一致。</x:v>
      </x:c>
      <x:c r="E23" s="46" t="str">
        <x:v>签署前必须逐项比对谈判记录和正式文本。</x:v>
      </x:c>
      <x:c r="F23" s="46" t="str">
        <x:v>错误签署后增加改约成本和履约争议。</x:v>
      </x:c>
      <x:c r="G23" s="46" t="str">
        <x:v>是</x:v>
      </x:c>
      <x:c r="H23" s="46" t="str">
        <x:v>是</x:v>
      </x:c>
      <x:c r="I23" s="50" t="str">
        <x:f>IF(AND(A23&lt;&gt;"",B23&lt;&gt;"",D23&lt;&gt;"",E23&lt;&gt;"",F23&lt;&gt;""),"完整","请补充")</x:f>
        <x:v>完整</x:v>
      </x:c>
    </x:row>
    <x:row r="24" ht="70" customHeight="1">
      <x:c r="A24" s="46" t="str">
        <x:v>CASE-010</x:v>
      </x:c>
      <x:c r="B24" s="46" t="str">
        <x:v>S1</x:v>
      </x:c>
      <x:c r="C24" s="46" t="n">
        <x:v>1</x:v>
      </x:c>
      <x:c r="D24" s="46" t="str">
        <x:v>合同已签但信用证申请尚未提交，卖方无法排产并警告交期顺延。</x:v>
      </x:c>
      <x:c r="E24" s="46" t="str">
        <x:v>开证是触发排产和装运期起算的关键前置事件。</x:v>
      </x:c>
      <x:c r="F24" s="46" t="str">
        <x:v>错过产能窗口导致项目延迟。</x:v>
      </x:c>
      <x:c r="G24" s="46" t="str">
        <x:v>是</x:v>
      </x:c>
      <x:c r="H24" s="46" t="str">
        <x:v>否</x:v>
      </x:c>
      <x:c r="I24" s="50" t="str">
        <x:f>IF(AND(A24&lt;&gt;"",B24&lt;&gt;"",D24&lt;&gt;"",E24&lt;&gt;"",F24&lt;&gt;""),"完整","请补充")</x:f>
        <x:v>完整</x:v>
      </x:c>
    </x:row>
    <x:row r="25" ht="70" customHeight="1">
      <x:c r="A25" s="46" t="str">
        <x:v>CASE-010</x:v>
      </x:c>
      <x:c r="B25" s="46" t="str">
        <x:v>S2</x:v>
      </x:c>
      <x:c r="C25" s="46" t="n">
        <x:v>2</x:v>
      </x:c>
      <x:c r="D25" s="46" t="str">
        <x:v>银行草拟的信用证含不同于合同的最迟装运日或单据要求。</x:v>
      </x:c>
      <x:c r="E25" s="46" t="str">
        <x:v>开证前必须让证内条款与合同和可执行流程一致。</x:v>
      </x:c>
      <x:c r="F25" s="46" t="str">
        <x:v>不合理条款导致后续改证费用与不符点。</x:v>
      </x:c>
      <x:c r="G25" s="46" t="str">
        <x:v>是</x:v>
      </x:c>
      <x:c r="H25" s="46" t="str">
        <x:v>是</x:v>
      </x:c>
      <x:c r="I25" s="50" t="str">
        <x:f>IF(AND(A25&lt;&gt;"",B25&lt;&gt;"",D25&lt;&gt;"",E25&lt;&gt;"",F25&lt;&gt;""),"完整","请补充")</x:f>
        <x:v>完整</x:v>
      </x:c>
    </x:row>
    <x:row r="26" ht="70" customHeight="1">
      <x:c r="A26" s="46" t="str">
        <x:v>CASE-011</x:v>
      </x:c>
      <x:c r="B26" s="46" t="str">
        <x:v>S1</x:v>
      </x:c>
      <x:c r="C26" s="46" t="n">
        <x:v>1</x:v>
      </x:c>
      <x:c r="D26" s="46" t="str">
        <x:v>卖方只写 standard export packing，未说明防潮、防静电、缓冲和箱内数量。</x:v>
      </x:c>
      <x:c r="E26" s="46" t="str">
        <x:v>笼统包装表述无法验证是否适合精密电子产品。</x:v>
      </x:c>
      <x:c r="F26" s="46" t="str">
        <x:v>运输中受潮、静电或冲击损坏且责任难判。</x:v>
      </x:c>
      <x:c r="G26" s="46" t="str">
        <x:v>是</x:v>
      </x:c>
      <x:c r="H26" s="46" t="str">
        <x:v>否</x:v>
      </x:c>
      <x:c r="I26" s="50" t="str">
        <x:f>IF(AND(A26&lt;&gt;"",B26&lt;&gt;"",D26&lt;&gt;"",E26&lt;&gt;"",F26&lt;&gt;""),"完整","请补充")</x:f>
        <x:v>完整</x:v>
      </x:c>
    </x:row>
    <x:row r="27" ht="70" customHeight="1">
      <x:c r="A27" s="46" t="str">
        <x:v>CASE-011</x:v>
      </x:c>
      <x:c r="B27" s="46" t="str">
        <x:v>S2</x:v>
      </x:c>
      <x:c r="C27" s="46" t="n">
        <x:v>2</x:v>
      </x:c>
      <x:c r="D27" s="46" t="str">
        <x:v>双方对唛头内容理解不同，卖方只准备印产品型号。</x:v>
      </x:c>
      <x:c r="E27" s="46" t="str">
        <x:v>运输唛头应支持收货人、目的地、箱号和操作提示识别。</x:v>
      </x:c>
      <x:c r="F27" s="46" t="str">
        <x:v>错运、混箱或仓库无法快速分拣。</x:v>
      </x:c>
      <x:c r="G27" s="46" t="str">
        <x:v>是</x:v>
      </x:c>
      <x:c r="H27" s="46" t="str">
        <x:v>是</x:v>
      </x:c>
      <x:c r="I27" s="50" t="str">
        <x:f>IF(AND(A27&lt;&gt;"",B27&lt;&gt;"",D27&lt;&gt;"",E27&lt;&gt;"",F27&lt;&gt;""),"完整","请补充")</x:f>
        <x:v>完整</x:v>
      </x:c>
    </x:row>
    <x:row r="28" ht="70" customHeight="1">
      <x:c r="A28" s="46" t="str">
        <x:v>CASE-012</x:v>
      </x:c>
      <x:c r="B28" s="46" t="str">
        <x:v>S1</x:v>
      </x:c>
      <x:c r="C28" s="46" t="n">
        <x:v>1</x:v>
      </x:c>
      <x:c r="D28" s="46" t="str">
        <x:v>卖方提出 500 件与 300 件分两批装运，以解决舱位不足。</x:v>
      </x:c>
      <x:c r="E28" s="46" t="str">
        <x:v>是否接受分批取决于项目、成本和收货能力，且需在 L/C 明确。</x:v>
      </x:c>
      <x:c r="F28" s="46" t="str">
        <x:v>默认接受会造成到货不齐和额外清关成本。</x:v>
      </x:c>
      <x:c r="G28" s="46" t="str">
        <x:v>是</x:v>
      </x:c>
      <x:c r="H28" s="46" t="str">
        <x:v>否</x:v>
      </x:c>
      <x:c r="I28" s="50" t="str">
        <x:f>IF(AND(A28&lt;&gt;"",B28&lt;&gt;"",D28&lt;&gt;"",E28&lt;&gt;"",F28&lt;&gt;""),"完整","请补充")</x:f>
        <x:v>完整</x:v>
      </x:c>
    </x:row>
    <x:row r="29" ht="70" customHeight="1">
      <x:c r="A29" s="46" t="str">
        <x:v>CASE-012</x:v>
      </x:c>
      <x:c r="B29" s="46" t="str">
        <x:v>S2</x:v>
      </x:c>
      <x:c r="C29" s="46" t="n">
        <x:v>2</x:v>
      </x:c>
      <x:c r="D29" s="46" t="str">
        <x:v>卖方建议香港转船并承诺不影响总交期，但未给衔接船期。</x:v>
      </x:c>
      <x:c r="E29" s="46" t="str">
        <x:v>转船可以接受，但需验证航程、责任和最迟到货。</x:v>
      </x:c>
      <x:c r="F29" s="46" t="str">
        <x:v>中转衔接失败导致整体延期。</x:v>
      </x:c>
      <x:c r="G29" s="46" t="str">
        <x:v>是</x:v>
      </x:c>
      <x:c r="H29" s="46" t="str">
        <x:v>是</x:v>
      </x:c>
      <x:c r="I29" s="50" t="str">
        <x:f>IF(AND(A29&lt;&gt;"",B29&lt;&gt;"",D29&lt;&gt;"",E29&lt;&gt;"",F29&lt;&gt;""),"完整","请补充")</x:f>
        <x:v>完整</x:v>
      </x:c>
    </x:row>
    <x:row r="30" ht="70" customHeight="1">
      <x:c r="A30" s="46" t="str">
        <x:v>CASE-013</x:v>
      </x:c>
      <x:c r="B30" s="46" t="str">
        <x:v>S1</x:v>
      </x:c>
      <x:c r="C30" s="46" t="n">
        <x:v>1</x:v>
      </x:c>
      <x:c r="D30" s="46" t="str">
        <x:v>最迟装运日、交单期和信用证有效期组合不足以完成制单交单。</x:v>
      </x:c>
      <x:c r="E30" s="46" t="str">
        <x:v>日期字段需从实际装运和银行流程联动审核。</x:v>
      </x:c>
      <x:c r="F30" s="46" t="str">
        <x:v>即使按时装运也可能因迟交单形成不符点。</x:v>
      </x:c>
      <x:c r="G30" s="46" t="str">
        <x:v>是</x:v>
      </x:c>
      <x:c r="H30" s="46" t="str">
        <x:v>否</x:v>
      </x:c>
      <x:c r="I30" s="50" t="str">
        <x:f>IF(AND(A30&lt;&gt;"",B30&lt;&gt;"",D30&lt;&gt;"",E30&lt;&gt;"",F30&lt;&gt;""),"完整","请补充")</x:f>
        <x:v>完整</x:v>
      </x:c>
    </x:row>
    <x:row r="31" ht="70" customHeight="1">
      <x:c r="A31" s="46" t="str">
        <x:v>CASE-013</x:v>
      </x:c>
      <x:c r="B31" s="46" t="str">
        <x:v>S2</x:v>
      </x:c>
      <x:c r="C31" s="46" t="n">
        <x:v>2</x:v>
      </x:c>
      <x:c r="D31" s="46" t="str">
        <x:v>卖方要求删除原合同质量单据并扩大金额容差，以方便交单。</x:v>
      </x:c>
      <x:c r="E31" s="46" t="str">
        <x:v>改证请求应按合同依据和风险影响逐项分类。</x:v>
      </x:c>
      <x:c r="F31" s="46" t="str">
        <x:v>无原则改证把卖方履约风险转给买方。</x:v>
      </x:c>
      <x:c r="G31" s="46" t="str">
        <x:v>是</x:v>
      </x:c>
      <x:c r="H31" s="46" t="str">
        <x:v>是</x:v>
      </x:c>
      <x:c r="I31" s="50" t="str">
        <x:f>IF(AND(A31&lt;&gt;"",B31&lt;&gt;"",D31&lt;&gt;"",E31&lt;&gt;"",F31&lt;&gt;""),"完整","请补充")</x:f>
        <x:v>完整</x:v>
      </x:c>
    </x:row>
    <x:row r="32" ht="70" customHeight="1">
      <x:c r="A32" s="46" t="str">
        <x:v>CASE-014</x:v>
      </x:c>
      <x:c r="B32" s="46" t="str">
        <x:v>S1</x:v>
      </x:c>
      <x:c r="C32" s="46" t="n">
        <x:v>1</x:v>
      </x:c>
      <x:c r="D32" s="46" t="str">
        <x:v>装运通知未写提单号、船名航次或预计到港日，买方无法安排接货。</x:v>
      </x:c>
      <x:c r="E32" s="46" t="str">
        <x:v>装运通知必须支持货物追踪、保险和清关准备。</x:v>
      </x:c>
      <x:c r="F32" s="46" t="str">
        <x:v>错过接单和清关节点产生滞箱滞港费。</x:v>
      </x:c>
      <x:c r="G32" s="46" t="str">
        <x:v>是</x:v>
      </x:c>
      <x:c r="H32" s="46" t="str">
        <x:v>否</x:v>
      </x:c>
      <x:c r="I32" s="50" t="str">
        <x:f>IF(AND(A32&lt;&gt;"",B32&lt;&gt;"",D32&lt;&gt;"",E32&lt;&gt;"",F32&lt;&gt;""),"完整","请补充")</x:f>
        <x:v>完整</x:v>
      </x:c>
    </x:row>
    <x:row r="33" ht="70" customHeight="1">
      <x:c r="A33" s="46" t="str">
        <x:v>CASE-014</x:v>
      </x:c>
      <x:c r="B33" s="46" t="str">
        <x:v>S2</x:v>
      </x:c>
      <x:c r="C33" s="46" t="n">
        <x:v>2</x:v>
      </x:c>
      <x:c r="D33" s="46" t="str">
        <x:v>银行提示单据相符并要求付款，但业务团队仍想等货到后再决定。</x:v>
      </x:c>
      <x:c r="E33" s="46" t="str">
        <x:v>L/C 付款基于相符单据，不以到货验收为前提。</x:v>
      </x:c>
      <x:c r="F33" s="46" t="str">
        <x:v>无依据拒付造成信用和银行风险。</x:v>
      </x:c>
      <x:c r="G33" s="46" t="str">
        <x:v>是</x:v>
      </x:c>
      <x:c r="H33" s="46" t="str">
        <x:v>是</x:v>
      </x:c>
      <x:c r="I33" s="50" t="str">
        <x:f>IF(AND(A33&lt;&gt;"",B33&lt;&gt;"",D33&lt;&gt;"",E33&lt;&gt;"",F33&lt;&gt;""),"完整","请补充")</x:f>
        <x:v>完整</x:v>
      </x:c>
    </x:row>
    <x:row r="34" ht="70" customHeight="1">
      <x:c r="A34" s="46" t="str">
        <x:v>CASE-015</x:v>
      </x:c>
      <x:c r="B34" s="46" t="str">
        <x:v>S1</x:v>
      </x:c>
      <x:c r="C34" s="46" t="n">
        <x:v>1</x:v>
      </x:c>
      <x:c r="D34" s="46" t="str">
        <x:v>卖方要求装运港检验绝对终局，排除任何到货复验。</x:v>
      </x:c>
      <x:c r="E34" s="46" t="str">
        <x:v>装港检验与到货复验承担不同风险控制功能。</x:v>
      </x:c>
      <x:c r="F34" s="46" t="str">
        <x:v>隐蔽缺陷到货后无法救济。</x:v>
      </x:c>
      <x:c r="G34" s="46" t="str">
        <x:v>是</x:v>
      </x:c>
      <x:c r="H34" s="46" t="str">
        <x:v>否</x:v>
      </x:c>
      <x:c r="I34" s="50" t="str">
        <x:f>IF(AND(A34&lt;&gt;"",B34&lt;&gt;"",D34&lt;&gt;"",E34&lt;&gt;"",F34&lt;&gt;""),"完整","请补充")</x:f>
        <x:v>完整</x:v>
      </x:c>
    </x:row>
    <x:row r="35" ht="70" customHeight="1">
      <x:c r="A35" s="46" t="str">
        <x:v>CASE-015</x:v>
      </x:c>
      <x:c r="B35" s="46" t="str">
        <x:v>S2</x:v>
      </x:c>
      <x:c r="C35" s="46" t="n">
        <x:v>2</x:v>
      </x:c>
      <x:c r="D35" s="46" t="str">
        <x:v>买方提出到货后无限期、全项目复验，卖方担心责任长期不确定。</x:v>
      </x:c>
      <x:c r="E35" s="46" t="str">
        <x:v>复验权需要限定机构、事项、时间和证据程序。</x:v>
      </x:c>
      <x:c r="F35" s="46" t="str">
        <x:v>过宽权利导致对方拒绝或提高风险溢价。</x:v>
      </x:c>
      <x:c r="G35" s="46" t="str">
        <x:v>是</x:v>
      </x:c>
      <x:c r="H35" s="46" t="str">
        <x:v>是</x:v>
      </x:c>
      <x:c r="I35" s="50" t="str">
        <x:f>IF(AND(A35&lt;&gt;"",B35&lt;&gt;"",D35&lt;&gt;"",E35&lt;&gt;"",F35&lt;&gt;""),"完整","请补充")</x:f>
        <x:v>完整</x:v>
      </x:c>
    </x:row>
    <x:row r="36" ht="70" customHeight="1">
      <x:c r="A36" s="46" t="str">
        <x:v>CASE-016</x:v>
      </x:c>
      <x:c r="B36" s="46" t="str">
        <x:v>S1</x:v>
      </x:c>
      <x:c r="C36" s="46" t="n">
        <x:v>1</x:v>
      </x:c>
      <x:c r="D36" s="46" t="str">
        <x:v>卖方称 CIF 已含保险，因此 ICC(C) 足够，不愿讨论更广保障。</x:v>
      </x:c>
      <x:c r="E36" s="46" t="str">
        <x:v>CIF 只规定最低投保义务，不代表一定满足具体货物风险。</x:v>
      </x:c>
      <x:c r="F36" s="46" t="str">
        <x:v>买方误以为所有运输风险均获赔。</x:v>
      </x:c>
      <x:c r="G36" s="46" t="str">
        <x:v>是</x:v>
      </x:c>
      <x:c r="H36" s="46" t="str">
        <x:v>否</x:v>
      </x:c>
      <x:c r="I36" s="50" t="str">
        <x:f>IF(AND(A36&lt;&gt;"",B36&lt;&gt;"",D36&lt;&gt;"",E36&lt;&gt;"",F36&lt;&gt;""),"完整","请补充")</x:f>
        <x:v>完整</x:v>
      </x:c>
    </x:row>
    <x:row r="37" ht="70" customHeight="1">
      <x:c r="A37" s="46" t="str">
        <x:v>CASE-016</x:v>
      </x:c>
      <x:c r="B37" s="46" t="str">
        <x:v>S2</x:v>
      </x:c>
      <x:c r="C37" s="46" t="n">
        <x:v>2</x:v>
      </x:c>
      <x:c r="D37" s="46" t="str">
        <x:v>买方要求 ICC(A)，但未分析保费增加和除外责任。</x:v>
      </x:c>
      <x:c r="E37" s="46" t="str">
        <x:v>广泛险并非包赔一切，升级应基于风险清单和成本。</x:v>
      </x:c>
      <x:c r="F37" s="46" t="str">
        <x:v>支付额外保费却仍存在未识别除外风险。</x:v>
      </x:c>
      <x:c r="G37" s="46" t="str">
        <x:v>是</x:v>
      </x:c>
      <x:c r="H37" s="46" t="str">
        <x:v>是</x:v>
      </x:c>
      <x:c r="I37" s="50" t="str">
        <x:f>IF(AND(A37&lt;&gt;"",B37&lt;&gt;"",D37&lt;&gt;"",E37&lt;&gt;"",F37&lt;&gt;""),"完整","请补充")</x:f>
        <x:v>完整</x:v>
      </x:c>
    </x:row>
    <x:row r="38" ht="70" customHeight="1">
      <x:c r="A38" s="46" t="str">
        <x:v>CASE-017</x:v>
      </x:c>
      <x:c r="B38" s="46" t="str">
        <x:v>S1</x:v>
      </x:c>
      <x:c r="C38" s="46" t="n">
        <x:v>1</x:v>
      </x:c>
      <x:c r="D38" s="46" t="str">
        <x:v>条款写 disputes may be submitted to arbitration or court without priority。</x:v>
      </x:c>
      <x:c r="E38" s="46" t="str">
        <x:v>或裁或审会造成争议解决路径不确定。</x:v>
      </x:c>
      <x:c r="F38" s="46" t="str">
        <x:v>一方先诉一方申请仲裁，引发管辖争议。</x:v>
      </x:c>
      <x:c r="G38" s="46" t="str">
        <x:v>是</x:v>
      </x:c>
      <x:c r="H38" s="46" t="str">
        <x:v>否</x:v>
      </x:c>
      <x:c r="I38" s="50" t="str">
        <x:f>IF(AND(A38&lt;&gt;"",B38&lt;&gt;"",D38&lt;&gt;"",E38&lt;&gt;"",F38&lt;&gt;""),"完整","请补充")</x:f>
        <x:v>完整</x:v>
      </x:c>
    </x:row>
    <x:row r="39" ht="70" customHeight="1">
      <x:c r="A39" s="46" t="str">
        <x:v>CASE-017</x:v>
      </x:c>
      <x:c r="B39" s="46" t="str">
        <x:v>S2</x:v>
      </x:c>
      <x:c r="C39" s="46" t="n">
        <x:v>2</x:v>
      </x:c>
      <x:c r="D39" s="46" t="str">
        <x:v>双方分别坚持本国机构，但都担忧对方主场优势和执行成本。</x:v>
      </x:c>
      <x:c r="E39" s="46" t="str">
        <x:v>应比较机构、仲裁地、语言、费用和裁决执行网络。</x:v>
      </x:c>
      <x:c r="F39" s="46" t="str">
        <x:v>只争机构名称而忽略真正的程序利益。</x:v>
      </x:c>
      <x:c r="G39" s="46" t="str">
        <x:v>是</x:v>
      </x:c>
      <x:c r="H39" s="46" t="str">
        <x:v>是</x:v>
      </x:c>
      <x:c r="I39" s="50" t="str">
        <x:f>IF(AND(A39&lt;&gt;"",B39&lt;&gt;"",D39&lt;&gt;"",E39&lt;&gt;"",F39&lt;&gt;""),"完整","请补充")</x:f>
        <x:v>完整</x:v>
      </x:c>
    </x:row>
    <x:row r="40" ht="70" customHeight="1">
      <x:c r="A40" s="46" t="str">
        <x:v>CASE-018</x:v>
      </x:c>
      <x:c r="B40" s="46" t="str">
        <x:v>S1</x:v>
      </x:c>
      <x:c r="C40" s="46" t="n">
        <x:v>1</x:v>
      </x:c>
      <x:c r="D40" s="46" t="str">
        <x:v>同一批货同时存在亮度不达标和水渍，团队倾向把全部损失归责卖方。</x:v>
      </x:c>
      <x:c r="E40" s="46" t="str">
        <x:v>不同成因应匹配合同、承运或保险责任。</x:v>
      </x:c>
      <x:c r="F40" s="46" t="str">
        <x:v>错误归责导致索赔被整体驳回或重复求偿。</x:v>
      </x:c>
      <x:c r="G40" s="46" t="str">
        <x:v>是</x:v>
      </x:c>
      <x:c r="H40" s="46" t="str">
        <x:v>否</x:v>
      </x:c>
      <x:c r="I40" s="50" t="str">
        <x:f>IF(AND(A40&lt;&gt;"",B40&lt;&gt;"",D40&lt;&gt;"",E40&lt;&gt;"",F40&lt;&gt;""),"完整","请补充")</x:f>
        <x:v>完整</x:v>
      </x:c>
    </x:row>
    <x:row r="41" ht="70" customHeight="1">
      <x:c r="A41" s="46" t="str">
        <x:v>CASE-018</x:v>
      </x:c>
      <x:c r="B41" s="46" t="str">
        <x:v>S2</x:v>
      </x:c>
      <x:c r="C41" s="46" t="n">
        <x:v>2</x:v>
      </x:c>
      <x:c r="D41" s="46" t="str">
        <x:v>索赔草稿只写货物质量很差并要求赔偿，没有证书编号、数量和金额计算。</x:v>
      </x:c>
      <x:c r="E41" s="46" t="str">
        <x:v>索赔必须形成事实—证据—责任—损失—诉求链。</x:v>
      </x:c>
      <x:c r="F41" s="46" t="str">
        <x:v>对方无法核验，处理被拖延。</x:v>
      </x:c>
      <x:c r="G41" s="46" t="str">
        <x:v>是</x:v>
      </x:c>
      <x:c r="H41" s="46" t="str">
        <x:v>是</x:v>
      </x:c>
      <x:c r="I41" s="50" t="str">
        <x:f>IF(AND(A41&lt;&gt;"",B41&lt;&gt;"",D41&lt;&gt;"",E41&lt;&gt;"",F41&lt;&gt;""),"完整","请补充")</x:f>
        <x:v>完整</x:v>
      </x:c>
    </x:row>
    <x:row r="42" ht="70" customHeight="1">
      <x:c r="A42" s="46" t="str">
        <x:v>CASE-019</x:v>
      </x:c>
      <x:c r="B42" s="46" t="str">
        <x:v>S1</x:v>
      </x:c>
      <x:c r="C42" s="46" t="n">
        <x:v>1</x:v>
      </x:c>
      <x:c r="D42" s="46" t="str">
        <x:v>卖方援引 2% 容差，但合同中的容差适用对象与本次亮度缺陷并不相同。</x:v>
      </x:c>
      <x:c r="E42" s="46" t="str">
        <x:v>需核对容差条款的指标、范围和计算基数。</x:v>
      </x:c>
      <x:c r="F42" s="46" t="str">
        <x:v>错误接受抗辩导致合法索赔被削弱。</x:v>
      </x:c>
      <x:c r="G42" s="46" t="str">
        <x:v>是</x:v>
      </x:c>
      <x:c r="H42" s="46" t="str">
        <x:v>否</x:v>
      </x:c>
      <x:c r="I42" s="50" t="str">
        <x:f>IF(AND(A42&lt;&gt;"",B42&lt;&gt;"",D42&lt;&gt;"",E42&lt;&gt;"",F42&lt;&gt;""),"完整","请补充")</x:f>
        <x:v>完整</x:v>
      </x:c>
    </x:row>
    <x:row r="43" ht="70" customHeight="1">
      <x:c r="A43" s="46" t="str">
        <x:v>CASE-019</x:v>
      </x:c>
      <x:c r="B43" s="46" t="str">
        <x:v>S2</x:v>
      </x:c>
      <x:c r="C43" s="46" t="n">
        <x:v>2</x:v>
      </x:c>
      <x:c r="D43" s="46" t="str">
        <x:v>卖方质疑 CCIC 抽样代表性，并要求证明缺陷在装运前已存在。</x:v>
      </x:c>
      <x:c r="E43" s="46" t="str">
        <x:v>证据效力取决于机构、程序、样本与因果关联。</x:v>
      </x:c>
      <x:c r="F43" s="46" t="str">
        <x:v>只重复证书结论无法解决争点。</x:v>
      </x:c>
      <x:c r="G43" s="46" t="str">
        <x:v>是</x:v>
      </x:c>
      <x:c r="H43" s="46" t="str">
        <x:v>是</x:v>
      </x:c>
      <x:c r="I43" s="50" t="str">
        <x:f>IF(AND(A43&lt;&gt;"",B43&lt;&gt;"",D43&lt;&gt;"",E43&lt;&gt;"",F43&lt;&gt;""),"完整","请补充")</x:f>
        <x:v>完整</x:v>
      </x:c>
    </x:row>
    <x:row r="44" ht="70" customHeight="1">
      <x:c r="A44" s="46" t="str">
        <x:v>CASE-020</x:v>
      </x:c>
      <x:c r="B44" s="46" t="str">
        <x:v>S1</x:v>
      </x:c>
      <x:c r="C44" s="46" t="n">
        <x:v>1</x:v>
      </x:c>
      <x:c r="D44" s="46" t="str">
        <x:v>卖方提出下批订单 5% 折扣，但买方尚未批准复购，实际价值不确定。</x:v>
      </x:c>
      <x:c r="E44" s="46" t="str">
        <x:v>非现金补偿要考虑使用条件、概率、时间和现金流。</x:v>
      </x:c>
      <x:c r="F44" s="46" t="str">
        <x:v>名义补偿很高但买方可能无法兑现。</x:v>
      </x:c>
      <x:c r="G44" s="46" t="str">
        <x:v>是</x:v>
      </x:c>
      <x:c r="H44" s="46" t="str">
        <x:v>否</x:v>
      </x:c>
      <x:c r="I44" s="50" t="str">
        <x:f>IF(AND(A44&lt;&gt;"",B44&lt;&gt;"",D44&lt;&gt;"",E44&lt;&gt;"",F44&lt;&gt;""),"完整","请补充")</x:f>
        <x:v>完整</x:v>
      </x:c>
    </x:row>
    <x:row r="45" ht="70" customHeight="1">
      <x:c r="A45" s="46" t="str">
        <x:v>CASE-020</x:v>
      </x:c>
      <x:c r="B45" s="46" t="str">
        <x:v>S2</x:v>
      </x:c>
      <x:c r="C45" s="46" t="n">
        <x:v>2</x:v>
      </x:c>
      <x:c r="D45" s="46" t="str">
        <x:v>卖方要求签署 full and final settlement，文本可能放弃未发现的其他权利。</x:v>
      </x:c>
      <x:c r="E45" s="46" t="str">
        <x:v>结案范围、履行时间和违约后果必须与已解决争议对应。</x:v>
      </x:c>
      <x:c r="F45" s="46" t="str">
        <x:v>过度放弃导致后续隐蔽缺陷无法主张。</x:v>
      </x:c>
      <x:c r="G45" s="46" t="str">
        <x:v>是</x:v>
      </x:c>
      <x:c r="H45" s="46" t="str">
        <x:v>是</x:v>
      </x:c>
      <x:c r="I45" s="50" t="str">
        <x:f>IF(AND(A45&lt;&gt;"",B45&lt;&gt;"",D45&lt;&gt;"",E45&lt;&gt;"",F45&lt;&gt;""),"完整","请补充")</x:f>
        <x:v>完整</x:v>
      </x:c>
    </x:row>
  </x:sheetData>
  <x:mergeCells>
    <x:mergeCell ref="A1:I1"/>
    <x:mergeCell ref="A2:I2"/>
    <x:mergeCell ref="A3:I3"/>
  </x:mergeCells>
  <x:conditionalFormatting sqref="I6:I45">
    <x:cfRule type="containsText" dxfId="2" priority="1" operator="containsText" text="请补充"/>
    <x:cfRule type="containsText" dxfId="3" priority="2" operator="containsText" text="完整"/>
  </x:conditionalFormatting>
  <x:dataValidations count="1">
    <x:dataValidation type="list" sqref="G6:H45">
      <x:formula1>"是,否"</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4" hidden="0" customWidth="1"/>
    <x:col min="3" max="3" width="14" hidden="0" customWidth="1"/>
    <x:col min="4" max="4" width="28" hidden="0" customWidth="1"/>
    <x:col min="5" max="5" width="38" hidden="0" customWidth="1"/>
    <x:col min="6" max="6" width="46" hidden="0" customWidth="1"/>
    <x:col min="7" max="7" width="42" hidden="0" customWidth="1"/>
    <x:col min="8" max="8" width="34" hidden="0" customWidth="1"/>
    <x:col min="9" max="9" width="36" hidden="0" customWidth="1"/>
    <x:col min="10" max="10" width="14" hidden="0" customWidth="1"/>
    <x:col min="11" max="11" width="14" hidden="0" customWidth="1"/>
  </x:cols>
  <x:sheetData>
    <x:row r="1" ht="34" customHeight="1">
      <x:c r="A1" s="34" t="str">
        <x:v>03｜应对策略</x:v>
      </x:c>
      <x:c r="B1" s="34"/>
      <x:c r="C1" s="34"/>
      <x:c r="D1" s="34"/>
      <x:c r="E1" s="34"/>
      <x:c r="F1" s="34"/>
      <x:c r="G1" s="34"/>
      <x:c r="H1" s="34"/>
      <x:c r="I1" s="34"/>
      <x:c r="J1" s="34"/>
      <x:c r="K1" s="34"/>
    </x:row>
    <x:row r="2" ht="30" customHeight="1">
      <x:c r="A2" s="36" t="str">
        <x:v>说明学生在某个局面下应如何决策和行动。策略是有适用条件的行动方案，不是标准答案句库。</x:v>
      </x:c>
      <x:c r="B2" s="36"/>
      <x:c r="C2" s="36"/>
      <x:c r="D2" s="36"/>
      <x:c r="E2" s="36"/>
      <x:c r="F2" s="36"/>
      <x:c r="G2" s="36"/>
      <x:c r="H2" s="36"/>
      <x:c r="I2" s="36"/>
      <x:c r="J2" s="36"/>
      <x:c r="K2" s="36"/>
    </x:row>
    <x:row r="3" ht="28" customHeight="1">
      <x:c r="A3" s="39" t="str">
        <x:v>每个局面提供两条可选策略；英文表达只作迁移支架。</x:v>
      </x:c>
      <x:c r="B3" s="39"/>
      <x:c r="C3" s="39"/>
      <x:c r="D3" s="39"/>
      <x:c r="E3" s="39"/>
      <x:c r="F3" s="39"/>
      <x:c r="G3" s="39"/>
      <x:c r="H3" s="39"/>
      <x:c r="I3" s="39"/>
      <x:c r="J3" s="39"/>
      <x:c r="K3" s="39"/>
    </x:row>
    <x:row r="4">
      <x:c r="A4" s="32"/>
      <x:c r="B4" s="32"/>
      <x:c r="C4" s="32"/>
      <x:c r="D4" s="32"/>
      <x:c r="E4" s="32"/>
      <x:c r="F4" s="32"/>
      <x:c r="G4" s="32"/>
      <x:c r="H4" s="32"/>
      <x:c r="I4" s="32"/>
      <x:c r="J4" s="32"/>
      <x:c r="K4" s="32"/>
    </x:row>
    <x:row r="5" ht="42" customHeight="1">
      <x:c r="A5" s="43" t="str">
        <x:v>案例编号（必填）</x:v>
      </x:c>
      <x:c r="B5" s="43" t="str">
        <x:v>局面编号（必填）</x:v>
      </x:c>
      <x:c r="C5" s="43" t="str">
        <x:v>策略编号（必填）</x:v>
      </x:c>
      <x:c r="D5" s="43" t="str">
        <x:v>策略名称（必填）</x:v>
      </x:c>
      <x:c r="E5" s="43" t="str">
        <x:v>适用条件（必填）</x:v>
      </x:c>
      <x:c r="F5" s="43" t="str">
        <x:v>学生应采取的行动（必填）</x:v>
      </x:c>
      <x:c r="G5" s="43" t="str">
        <x:v>可参考英文表达</x:v>
      </x:c>
      <x:c r="H5" s="43" t="str">
        <x:v>不建议的做法</x:v>
      </x:c>
      <x:c r="I5" s="43" t="str">
        <x:v>预期影响（必填）</x:v>
      </x:c>
      <x:c r="J5" s="43" t="str">
        <x:v>核心策略？</x:v>
      </x:c>
      <x:c r="K5" s="43" t="str">
        <x:v>填写检查</x:v>
      </x:c>
    </x:row>
    <x:row r="6" ht="70" customHeight="1">
      <x:c r="A6" s="46" t="str">
        <x:v>CASE-001</x:v>
      </x:c>
      <x:c r="B6" s="46" t="str">
        <x:v>S1</x:v>
      </x:c>
      <x:c r="C6" s="46" t="str">
        <x:v>ST1</x:v>
      </x:c>
      <x:c r="D6" s="46" t="str">
        <x:v>用信息来源建立可信开场</x:v>
      </x:c>
      <x:c r="E6" s="46" t="str">
        <x:v>首次联系且双方缺少信任时。</x:v>
      </x:c>
      <x:c r="F6" s="46" t="str">
        <x:v>说明如何获知对方、己方业务范围和本次联系目的。</x:v>
      </x:c>
      <x:c r="G6" s="46" t="str">
        <x:v>We learned of your company through the Canton Fair exhibitor directory.</x:v>
      </x:c>
      <x:c r="H6" s="46" t="str">
        <x:v>只写 We are interested without身份与来源。</x:v>
      </x:c>
      <x:c r="I6" s="46" t="str">
        <x:v>降低陌生来函的不确定性。</x:v>
      </x:c>
      <x:c r="J6" s="46" t="str">
        <x:v>是</x:v>
      </x:c>
      <x:c r="K6" s="50" t="str">
        <x:f>IF(AND(A6&lt;&gt;"",B6&lt;&gt;"",C6&lt;&gt;"",D6&lt;&gt;"",E6&lt;&gt;"",F6&lt;&gt;"",I6&lt;&gt;""),"完整","请补充")</x:f>
        <x:v>完整</x:v>
      </x:c>
    </x:row>
    <x:row r="7" ht="70" customHeight="1">
      <x:c r="A7" s="46" t="str">
        <x:v>CASE-001</x:v>
      </x:c>
      <x:c r="B7" s="46" t="str">
        <x:v>S1</x:v>
      </x:c>
      <x:c r="C7" s="46" t="str">
        <x:v>ST2</x:v>
      </x:c>
      <x:c r="D7" s="46" t="str">
        <x:v>提出可执行的资料清单</x:v>
      </x:c>
      <x:c r="E7" s="46" t="str">
        <x:v>需要评估供应商产品与合作条件时。</x:v>
      </x:c>
      <x:c r="F7" s="46" t="str">
        <x:v>逐项索取目录、规格、价目表、MOQ 和交期信息。</x:v>
      </x:c>
      <x:c r="G7" s="46" t="str">
        <x:v>Please send us your latest catalogue, specifications and indicative price list.</x:v>
      </x:c>
      <x:c r="H7" s="46" t="str">
        <x:v>笼统要求 send details。</x:v>
      </x:c>
      <x:c r="I7" s="46" t="str">
        <x:v>让对方一次提供可用于初筛的资料。</x:v>
      </x:c>
      <x:c r="J7" s="46" t="str">
        <x:v>否</x:v>
      </x:c>
      <x:c r="K7" s="50" t="str">
        <x:f>IF(AND(A7&lt;&gt;"",B7&lt;&gt;"",C7&lt;&gt;"",D7&lt;&gt;"",E7&lt;&gt;"",F7&lt;&gt;"",I7&lt;&gt;""),"完整","请补充")</x:f>
        <x:v>完整</x:v>
      </x:c>
    </x:row>
    <x:row r="8" ht="70" customHeight="1">
      <x:c r="A8" s="46" t="str">
        <x:v>CASE-001</x:v>
      </x:c>
      <x:c r="B8" s="46" t="str">
        <x:v>S2</x:v>
      </x:c>
      <x:c r="C8" s="46" t="str">
        <x:v>ST1</x:v>
      </x:c>
      <x:c r="D8" s="46" t="str">
        <x:v>以可核实事实展示实力</x:v>
      </x:c>
      <x:c r="E8" s="46" t="str">
        <x:v>对方要求确认买方资质时。</x:v>
      </x:c>
      <x:c r="F8" s="46" t="str">
        <x:v>说明主营市场、渠道和采购流程，但不承诺尚未批准的数量。</x:v>
      </x:c>
      <x:c r="G8" s="46" t="str">
        <x:v>We serve industrial display integrators in East China and begin with a qualification order.</x:v>
      </x:c>
      <x:c r="H8" s="46" t="str">
        <x:v>虚构客户、销量或立即下大单。</x:v>
      </x:c>
      <x:c r="I8" s="46" t="str">
        <x:v>证明合作潜力并保持信誉。</x:v>
      </x:c>
      <x:c r="J8" s="46" t="str">
        <x:v>是</x:v>
      </x:c>
      <x:c r="K8" s="50" t="str">
        <x:f>IF(AND(A8&lt;&gt;"",B8&lt;&gt;"",C8&lt;&gt;"",D8&lt;&gt;"",E8&lt;&gt;"",F8&lt;&gt;"",I8&lt;&gt;""),"完整","请补充")</x:f>
        <x:v>完整</x:v>
      </x:c>
    </x:row>
    <x:row r="9" ht="70" customHeight="1">
      <x:c r="A9" s="46" t="str">
        <x:v>CASE-001</x:v>
      </x:c>
      <x:c r="B9" s="46" t="str">
        <x:v>S2</x:v>
      </x:c>
      <x:c r="C9" s="46" t="str">
        <x:v>ST2</x:v>
      </x:c>
      <x:c r="D9" s="46" t="str">
        <x:v>把进一步披露与资料交换绑定</x:v>
      </x:c>
      <x:c r="E9" s="46" t="str">
        <x:v>卖方追问敏感采购计划时。</x:v>
      </x:c>
      <x:c r="F9" s="46" t="str">
        <x:v>先提供区间或用途，再请求对方回馈核心资料。</x:v>
      </x:c>
      <x:c r="G9" s="46" t="str">
        <x:v>We can refine the volume after reviewing your specifications and price range.</x:v>
      </x:c>
      <x:c r="H9" s="46" t="str">
        <x:v>无条件给出预算上限。</x:v>
      </x:c>
      <x:c r="I9" s="46" t="str">
        <x:v>形成互惠的信息交换。</x:v>
      </x:c>
      <x:c r="J9" s="46" t="str">
        <x:v>否</x:v>
      </x:c>
      <x:c r="K9" s="50" t="str">
        <x:f>IF(AND(A9&lt;&gt;"",B9&lt;&gt;"",C9&lt;&gt;"",D9&lt;&gt;"",E9&lt;&gt;"",F9&lt;&gt;"",I9&lt;&gt;""),"完整","请补充")</x:f>
        <x:v>完整</x:v>
      </x:c>
    </x:row>
    <x:row r="10" ht="70" customHeight="1">
      <x:c r="A10" s="46" t="str">
        <x:v>CASE-002</x:v>
      </x:c>
      <x:c r="B10" s="46" t="str">
        <x:v>S1</x:v>
      </x:c>
      <x:c r="C10" s="46" t="str">
        <x:v>ST1</x:v>
      </x:c>
      <x:c r="D10" s="46" t="str">
        <x:v>用结构化清单提出具体询盘</x:v>
      </x:c>
      <x:c r="E10" s="46" t="str">
        <x:v>产品型号和采购需求已经明确时。</x:v>
      </x:c>
      <x:c r="F10" s="46" t="str">
        <x:v>按产品、规格、数量、术语、付款、交期、有效期逐项询问。</x:v>
      </x:c>
      <x:c r="G10" s="46" t="str">
        <x:v>Please quote for 800 units of NT-IM250 on CIF Shanghai terms.</x:v>
      </x:c>
      <x:c r="H10" s="46" t="str">
        <x:v>只问 What is your best price?</x:v>
      </x:c>
      <x:c r="I10" s="46" t="str">
        <x:v>提高报价完整度和可比性。</x:v>
      </x:c>
      <x:c r="J10" s="46" t="str">
        <x:v>是</x:v>
      </x:c>
      <x:c r="K10" s="50" t="str">
        <x:f>IF(AND(A10&lt;&gt;"",B10&lt;&gt;"",C10&lt;&gt;"",D10&lt;&gt;"",E10&lt;&gt;"",F10&lt;&gt;"",I10&lt;&gt;""),"完整","请补充")</x:f>
        <x:v>完整</x:v>
      </x:c>
    </x:row>
    <x:row r="11" ht="70" customHeight="1">
      <x:c r="A11" s="46" t="str">
        <x:v>CASE-002</x:v>
      </x:c>
      <x:c r="B11" s="46" t="str">
        <x:v>S1</x:v>
      </x:c>
      <x:c r="C11" s="46" t="str">
        <x:v>ST2</x:v>
      </x:c>
      <x:c r="D11" s="46" t="str">
        <x:v>请求价格之外的关键条件</x:v>
      </x:c>
      <x:c r="E11" s="46" t="str">
        <x:v>买方需要评估总交易成本和可执行性时。</x:v>
      </x:c>
      <x:c r="F11" s="46" t="str">
        <x:v>同时询问包装、质保、生产周期和报价有效期。</x:v>
      </x:c>
      <x:c r="G11" s="46" t="str">
        <x:v>Kindly state your lead time, warranty and validity of quotation.</x:v>
      </x:c>
      <x:c r="H11" s="46" t="str">
        <x:v>把报价等同于单价。</x:v>
      </x:c>
      <x:c r="I11" s="46" t="str">
        <x:v>避免低价但不可履行的方案进入决策。</x:v>
      </x:c>
      <x:c r="J11" s="46" t="str">
        <x:v>否</x:v>
      </x:c>
      <x:c r="K11" s="50" t="str">
        <x:f>IF(AND(A11&lt;&gt;"",B11&lt;&gt;"",C11&lt;&gt;"",D11&lt;&gt;"",E11&lt;&gt;"",F11&lt;&gt;"",I11&lt;&gt;""),"完整","请补充")</x:f>
        <x:v>完整</x:v>
      </x:c>
    </x:row>
    <x:row r="12" ht="70" customHeight="1">
      <x:c r="A12" s="46" t="str">
        <x:v>CASE-002</x:v>
      </x:c>
      <x:c r="B12" s="46" t="str">
        <x:v>S2</x:v>
      </x:c>
      <x:c r="C12" s="46" t="str">
        <x:v>ST1</x:v>
      </x:c>
      <x:c r="D12" s="46" t="str">
        <x:v>以订单用途替代预算披露</x:v>
      </x:c>
      <x:c r="E12" s="46" t="str">
        <x:v>对方追问预算时。</x:v>
      </x:c>
      <x:c r="F12" s="46" t="str">
        <x:v>说明试单与后续复购逻辑，不给最后接受价。</x:v>
      </x:c>
      <x:c r="G12" s="46" t="str">
        <x:v>This is a qualification order with repeat potential subject to performance.</x:v>
      </x:c>
      <x:c r="H12" s="46" t="str">
        <x:v>直接告知审批上限。</x:v>
      </x:c>
      <x:c r="I12" s="46" t="str">
        <x:v>展示潜力而保留议价空间。</x:v>
      </x:c>
      <x:c r="J12" s="46" t="str">
        <x:v>是</x:v>
      </x:c>
      <x:c r="K12" s="50" t="str">
        <x:f>IF(AND(A12&lt;&gt;"",B12&lt;&gt;"",C12&lt;&gt;"",D12&lt;&gt;"",E12&lt;&gt;"",F12&lt;&gt;"",I12&lt;&gt;""),"完整","请补充")</x:f>
        <x:v>完整</x:v>
      </x:c>
    </x:row>
    <x:row r="13" ht="70" customHeight="1">
      <x:c r="A13" s="46" t="str">
        <x:v>CASE-002</x:v>
      </x:c>
      <x:c r="B13" s="46" t="str">
        <x:v>S2</x:v>
      </x:c>
      <x:c r="C13" s="46" t="str">
        <x:v>ST2</x:v>
      </x:c>
      <x:c r="D13" s="46" t="str">
        <x:v>用交换条件获取优惠</x:v>
      </x:c>
      <x:c r="E13" s="46" t="str">
        <x:v>对方需要更多确定性才提供优惠时。</x:v>
      </x:c>
      <x:c r="F13" s="46" t="str">
        <x:v>可确认付款偏好或数量区间，并要求对方给出分级报价。</x:v>
      </x:c>
      <x:c r="G13" s="46" t="str">
        <x:v>Please quote price breaks for 800 and 1,200 units.</x:v>
      </x:c>
      <x:c r="H13" s="46" t="str">
        <x:v>承诺尚未批准的 1,200 件订单。</x:v>
      </x:c>
      <x:c r="I13" s="46" t="str">
        <x:v>用可控信息换取价格梯度。</x:v>
      </x:c>
      <x:c r="J13" s="46" t="str">
        <x:v>否</x:v>
      </x:c>
      <x:c r="K13" s="50" t="str">
        <x:f>IF(AND(A13&lt;&gt;"",B13&lt;&gt;"",C13&lt;&gt;"",D13&lt;&gt;"",E13&lt;&gt;"",F13&lt;&gt;"",I13&lt;&gt;""),"完整","请补充")</x:f>
        <x:v>完整</x:v>
      </x:c>
    </x:row>
    <x:row r="14" ht="70" customHeight="1">
      <x:c r="A14" s="46" t="str">
        <x:v>CASE-003</x:v>
      </x:c>
      <x:c r="B14" s="46" t="str">
        <x:v>S1</x:v>
      </x:c>
      <x:c r="C14" s="46" t="str">
        <x:v>ST1</x:v>
      </x:c>
      <x:c r="D14" s="46" t="str">
        <x:v>引用原询盘并设置回复节点</x:v>
      </x:c>
      <x:c r="E14" s="46" t="str">
        <x:v>已有询盘记录且等待超出正常周期时。</x:v>
      </x:c>
      <x:c r="F14" s="46" t="str">
        <x:v>简述原函日期和请求，说明业务节点并给出合理回复日期。</x:v>
      </x:c>
      <x:c r="G14" s="46" t="str">
        <x:v>Could you please send your quotation by Thursday for our scheduled review?</x:v>
      </x:c>
      <x:c r="H14" s="46" t="str">
        <x:v>指责对方故意拖延。</x:v>
      </x:c>
      <x:c r="I14" s="46" t="str">
        <x:v>恢复沟通节奏并减少查找成本。</x:v>
      </x:c>
      <x:c r="J14" s="46" t="str">
        <x:v>是</x:v>
      </x:c>
      <x:c r="K14" s="50" t="str">
        <x:f>IF(AND(A14&lt;&gt;"",B14&lt;&gt;"",C14&lt;&gt;"",D14&lt;&gt;"",E14&lt;&gt;"",F14&lt;&gt;"",I14&lt;&gt;""),"完整","请补充")</x:f>
        <x:v>完整</x:v>
      </x:c>
    </x:row>
    <x:row r="15" ht="70" customHeight="1">
      <x:c r="A15" s="46" t="str">
        <x:v>CASE-003</x:v>
      </x:c>
      <x:c r="B15" s="46" t="str">
        <x:v>S1</x:v>
      </x:c>
      <x:c r="C15" s="46" t="str">
        <x:v>ST2</x:v>
      </x:c>
      <x:c r="D15" s="46" t="str">
        <x:v>提供低成本回复选项</x:v>
      </x:c>
      <x:c r="E15" s="46" t="str">
        <x:v>对方暂时无法完成完整报价时。</x:v>
      </x:c>
      <x:c r="F15" s="46" t="str">
        <x:v>允许先确认预计报价时间或缺失信息清单。</x:v>
      </x:c>
      <x:c r="G15" s="46" t="str">
        <x:v>If the full quotation is not ready, please advise the expected issue date.</x:v>
      </x:c>
      <x:c r="H15" s="46" t="str">
        <x:v>反复发送相同催促。</x:v>
      </x:c>
      <x:c r="I15" s="46" t="str">
        <x:v>获得可管理的下一步承诺。</x:v>
      </x:c>
      <x:c r="J15" s="46" t="str">
        <x:v>否</x:v>
      </x:c>
      <x:c r="K15" s="50" t="str">
        <x:f>IF(AND(A15&lt;&gt;"",B15&lt;&gt;"",C15&lt;&gt;"",D15&lt;&gt;"",E15&lt;&gt;"",F15&lt;&gt;"",I15&lt;&gt;""),"完整","请补充")</x:f>
        <x:v>完整</x:v>
      </x:c>
    </x:row>
    <x:row r="16" ht="70" customHeight="1">
      <x:c r="A16" s="46" t="str">
        <x:v>CASE-003</x:v>
      </x:c>
      <x:c r="B16" s="46" t="str">
        <x:v>S2</x:v>
      </x:c>
      <x:c r="C16" s="46" t="str">
        <x:v>ST1</x:v>
      </x:c>
      <x:c r="D16" s="46" t="str">
        <x:v>分层披露采购信息</x:v>
      </x:c>
      <x:c r="E16" s="46" t="str">
        <x:v>对方的问题同时包含必要信息和敏感底牌时。</x:v>
      </x:c>
      <x:c r="F16" s="46" t="str">
        <x:v>确认试单、应用和付款偏好，保留预算与最终接受价。</x:v>
      </x:c>
      <x:c r="G16" s="46" t="str">
        <x:v>We can confirm 800 units for qualification; annual volume depends on performance.</x:v>
      </x:c>
      <x:c r="H16" s="46" t="str">
        <x:v>一次披露全部年度计划和预算。</x:v>
      </x:c>
      <x:c r="I16" s="46" t="str">
        <x:v>满足报价需要同时保护议价能力。</x:v>
      </x:c>
      <x:c r="J16" s="46" t="str">
        <x:v>是</x:v>
      </x:c>
      <x:c r="K16" s="50" t="str">
        <x:f>IF(AND(A16&lt;&gt;"",B16&lt;&gt;"",C16&lt;&gt;"",D16&lt;&gt;"",E16&lt;&gt;"",F16&lt;&gt;"",I16&lt;&gt;""),"完整","请补充")</x:f>
        <x:v>完整</x:v>
      </x:c>
    </x:row>
    <x:row r="17" ht="70" customHeight="1">
      <x:c r="A17" s="46" t="str">
        <x:v>CASE-003</x:v>
      </x:c>
      <x:c r="B17" s="46" t="str">
        <x:v>S2</x:v>
      </x:c>
      <x:c r="C17" s="46" t="str">
        <x:v>ST2</x:v>
      </x:c>
      <x:c r="D17" s="46" t="str">
        <x:v>用正式报价交换更深信息</x:v>
      </x:c>
      <x:c r="E17" s="46" t="str">
        <x:v>卖方继续要求敏感信息时。</x:v>
      </x:c>
      <x:c r="F17" s="46" t="str">
        <x:v>明确在收到条件完整报价后再进入年度计划讨论。</x:v>
      </x:c>
      <x:c r="G17" s="46" t="str">
        <x:v>Upon receipt of your firm offer, we can discuss the annual forecast.</x:v>
      </x:c>
      <x:c r="H17" s="46" t="str">
        <x:v>无回报地继续透露信息。</x:v>
      </x:c>
      <x:c r="I17" s="46" t="str">
        <x:v>建立互惠交换规则。</x:v>
      </x:c>
      <x:c r="J17" s="46" t="str">
        <x:v>否</x:v>
      </x:c>
      <x:c r="K17" s="50" t="str">
        <x:f>IF(AND(A17&lt;&gt;"",B17&lt;&gt;"",C17&lt;&gt;"",D17&lt;&gt;"",E17&lt;&gt;"",F17&lt;&gt;"",I17&lt;&gt;""),"完整","请补充")</x:f>
        <x:v>完整</x:v>
      </x:c>
    </x:row>
    <x:row r="18" ht="70" customHeight="1">
      <x:c r="A18" s="46" t="str">
        <x:v>CASE-004</x:v>
      </x:c>
      <x:c r="B18" s="46" t="str">
        <x:v>S1</x:v>
      </x:c>
      <x:c r="C18" s="46" t="str">
        <x:v>ST1</x:v>
      </x:c>
      <x:c r="D18" s="46" t="str">
        <x:v>复述限定语并请求澄清</x:v>
      </x:c>
      <x:c r="E18" s="46" t="str">
        <x:v>报价含保留性表达时。</x:v>
      </x:c>
      <x:c r="F18" s="46" t="str">
        <x:v>指出限定语的业务影响，询问是否构成 firm offer。</x:v>
      </x:c>
      <x:c r="G18" s="46" t="str">
        <x:v>Could you confirm whether this quotation constitutes a firm offer?</x:v>
      </x:c>
      <x:c r="H18" s="46" t="str">
        <x:v>直接指控对方欺骗。</x:v>
      </x:c>
      <x:c r="I18" s="46" t="str">
        <x:v>把模糊承诺转为明确问题。</x:v>
      </x:c>
      <x:c r="J18" s="46" t="str">
        <x:v>是</x:v>
      </x:c>
      <x:c r="K18" s="50" t="str">
        <x:f>IF(AND(A18&lt;&gt;"",B18&lt;&gt;"",C18&lt;&gt;"",D18&lt;&gt;"",E18&lt;&gt;"",F18&lt;&gt;"",I18&lt;&gt;""),"完整","请补充")</x:f>
        <x:v>完整</x:v>
      </x:c>
    </x:row>
    <x:row r="19" ht="70" customHeight="1">
      <x:c r="A19" s="46" t="str">
        <x:v>CASE-004</x:v>
      </x:c>
      <x:c r="B19" s="46" t="str">
        <x:v>S1</x:v>
      </x:c>
      <x:c r="C19" s="46" t="str">
        <x:v>ST2</x:v>
      </x:c>
      <x:c r="D19" s="46" t="str">
        <x:v>请求完整实盘</x:v>
      </x:c>
      <x:c r="E19" s="46" t="str">
        <x:v>买方需要可供审批的正式条件时。</x:v>
      </x:c>
      <x:c r="F19" s="46" t="str">
        <x:v>要求价格、数量、付款、交期和有效期完整列明。</x:v>
      </x:c>
      <x:c r="G19" s="46" t="str">
        <x:v>Please issue a firm offer valid for 15 days with all key terms.</x:v>
      </x:c>
      <x:c r="H19" s="46" t="str">
        <x:v>只要求 Please confirm。</x:v>
      </x:c>
      <x:c r="I19" s="46" t="str">
        <x:v>取得可依赖和可比较的报价。</x:v>
      </x:c>
      <x:c r="J19" s="46" t="str">
        <x:v>否</x:v>
      </x:c>
      <x:c r="K19" s="50" t="str">
        <x:f>IF(AND(A19&lt;&gt;"",B19&lt;&gt;"",C19&lt;&gt;"",D19&lt;&gt;"",E19&lt;&gt;"",F19&lt;&gt;"",I19&lt;&gt;""),"完整","请补充")</x:f>
        <x:v>完整</x:v>
      </x:c>
    </x:row>
    <x:row r="20" ht="70" customHeight="1">
      <x:c r="A20" s="46" t="str">
        <x:v>CASE-004</x:v>
      </x:c>
      <x:c r="B20" s="46" t="str">
        <x:v>S2</x:v>
      </x:c>
      <x:c r="C20" s="46" t="str">
        <x:v>ST1</x:v>
      </x:c>
      <x:c r="D20" s="46" t="str">
        <x:v>用审批需求解释有效期</x:v>
      </x:c>
      <x:c r="E20" s="46" t="str">
        <x:v>卖方不愿固定过久时。</x:v>
      </x:c>
      <x:c r="F20" s="46" t="str">
        <x:v>说明内部审批所需天数并提出合理较短有效期。</x:v>
      </x:c>
      <x:c r="G20" s="46" t="str">
        <x:v>A ten-day validity would allow us to complete internal approval.</x:v>
      </x:c>
      <x:c r="H20" s="46" t="str">
        <x:v>要求不合理的长期锁价。</x:v>
      </x:c>
      <x:c r="I20" s="46" t="str">
        <x:v>在卖方市场风险与买方决策需要间平衡。</x:v>
      </x:c>
      <x:c r="J20" s="46" t="str">
        <x:v>是</x:v>
      </x:c>
      <x:c r="K20" s="50" t="str">
        <x:f>IF(AND(A20&lt;&gt;"",B20&lt;&gt;"",C20&lt;&gt;"",D20&lt;&gt;"",E20&lt;&gt;"",F20&lt;&gt;"",I20&lt;&gt;""),"完整","请补充")</x:f>
        <x:v>完整</x:v>
      </x:c>
    </x:row>
    <x:row r="21" ht="70" customHeight="1">
      <x:c r="A21" s="46" t="str">
        <x:v>CASE-004</x:v>
      </x:c>
      <x:c r="B21" s="46" t="str">
        <x:v>S2</x:v>
      </x:c>
      <x:c r="C21" s="46" t="str">
        <x:v>ST2</x:v>
      </x:c>
      <x:c r="D21" s="46" t="str">
        <x:v>保留价格异议但先确认性质</x:v>
      </x:c>
      <x:c r="E21" s="46" t="str">
        <x:v>价格与承诺性质同时存在问题时。</x:v>
      </x:c>
      <x:c r="F21" s="46" t="str">
        <x:v>先确认报价性质，再明确 290 美元仍需讨论。</x:v>
      </x:c>
      <x:c r="G21" s="46" t="str">
        <x:v>We note the price, while our immediate concern is the offer's binding status.</x:v>
      </x:c>
      <x:c r="H21" s="46" t="str">
        <x:v>同时抛出过多议题导致核心问题失焦。</x:v>
      </x:c>
      <x:c r="I21" s="46" t="str">
        <x:v>先建立可谈判的正式基准。</x:v>
      </x:c>
      <x:c r="J21" s="46" t="str">
        <x:v>否</x:v>
      </x:c>
      <x:c r="K21" s="50" t="str">
        <x:f>IF(AND(A21&lt;&gt;"",B21&lt;&gt;"",C21&lt;&gt;"",D21&lt;&gt;"",E21&lt;&gt;"",F21&lt;&gt;"",I21&lt;&gt;""),"完整","请补充")</x:f>
        <x:v>完整</x:v>
      </x:c>
    </x:row>
    <x:row r="22" ht="70" customHeight="1">
      <x:c r="A22" s="46" t="str">
        <x:v>CASE-005</x:v>
      </x:c>
      <x:c r="B22" s="46" t="str">
        <x:v>S1</x:v>
      </x:c>
      <x:c r="C22" s="46" t="str">
        <x:v>ST1</x:v>
      </x:c>
      <x:c r="D22" s="46" t="str">
        <x:v>使用实盘要素复核表</x:v>
      </x:c>
      <x:c r="E22" s="46" t="str">
        <x:v>收到条件完整的正式报盘时。</x:v>
      </x:c>
      <x:c r="F22" s="46" t="str">
        <x:v>逐项回读标的、数量、价格术语、付款、装运和有效期。</x:v>
      </x:c>
      <x:c r="G22" s="46" t="str">
        <x:v>We understand your firm offer as follows: ...</x:v>
      </x:c>
      <x:c r="H22" s="46" t="str">
        <x:v>只回复 Price noted。</x:v>
      </x:c>
      <x:c r="I22" s="46" t="str">
        <x:v>减少条件遗漏和误解。</x:v>
      </x:c>
      <x:c r="J22" s="46" t="str">
        <x:v>是</x:v>
      </x:c>
      <x:c r="K22" s="50" t="str">
        <x:f>IF(AND(A22&lt;&gt;"",B22&lt;&gt;"",C22&lt;&gt;"",D22&lt;&gt;"",E22&lt;&gt;"",F22&lt;&gt;"",I22&lt;&gt;""),"完整","请补充")</x:f>
        <x:v>完整</x:v>
      </x:c>
    </x:row>
    <x:row r="23" ht="70" customHeight="1">
      <x:c r="A23" s="46" t="str">
        <x:v>CASE-005</x:v>
      </x:c>
      <x:c r="B23" s="46" t="str">
        <x:v>S1</x:v>
      </x:c>
      <x:c r="C23" s="46" t="str">
        <x:v>ST2</x:v>
      </x:c>
      <x:c r="D23" s="46" t="str">
        <x:v>确认有效期的日期与时区</x:v>
      </x:c>
      <x:c r="E23" s="46" t="str">
        <x:v>跨时区且截止日接近时。</x:v>
      </x:c>
      <x:c r="F23" s="46" t="str">
        <x:v>明确到期日期、时间和适用时区。</x:v>
      </x:c>
      <x:c r="G23" s="46" t="str">
        <x:v>Please confirm that the offer remains valid until 17:00 Shanghai time on 30 July.</x:v>
      </x:c>
      <x:c r="H23" s="46" t="str">
        <x:v>默认双方时区相同。</x:v>
      </x:c>
      <x:c r="I23" s="46" t="str">
        <x:v>避免迟到接受争议。</x:v>
      </x:c>
      <x:c r="J23" s="46" t="str">
        <x:v>否</x:v>
      </x:c>
      <x:c r="K23" s="50" t="str">
        <x:f>IF(AND(A23&lt;&gt;"",B23&lt;&gt;"",C23&lt;&gt;"",D23&lt;&gt;"",E23&lt;&gt;"",F23&lt;&gt;"",I23&lt;&gt;""),"完整","请补充")</x:f>
        <x:v>完整</x:v>
      </x:c>
    </x:row>
    <x:row r="24" ht="70" customHeight="1">
      <x:c r="A24" s="46" t="str">
        <x:v>CASE-005</x:v>
      </x:c>
      <x:c r="B24" s="46" t="str">
        <x:v>S2</x:v>
      </x:c>
      <x:c r="C24" s="46" t="str">
        <x:v>ST1</x:v>
      </x:c>
      <x:c r="D24" s="46" t="str">
        <x:v>区分接受与还盘</x:v>
      </x:c>
      <x:c r="E24" s="46" t="str">
        <x:v>买方希望改变价格、付款或交期时。</x:v>
      </x:c>
      <x:c r="F24" s="46" t="str">
        <x:v>明确使用 counter-offer 表述，不把实质修改写成接受。</x:v>
      </x:c>
      <x:c r="G24" s="46" t="str">
        <x:v>We are unable to accept the delivery term and therefore propose ...</x:v>
      </x:c>
      <x:c r="H24" s="46" t="str">
        <x:v>先写无条件接受再附新条件。</x:v>
      </x:c>
      <x:c r="I24" s="46" t="str">
        <x:v>保持回应的法律效果一致。</x:v>
      </x:c>
      <x:c r="J24" s="46" t="str">
        <x:v>是</x:v>
      </x:c>
      <x:c r="K24" s="50" t="str">
        <x:f>IF(AND(A24&lt;&gt;"",B24&lt;&gt;"",C24&lt;&gt;"",D24&lt;&gt;"",E24&lt;&gt;"",F24&lt;&gt;"",I24&lt;&gt;""),"完整","请补充")</x:f>
        <x:v>完整</x:v>
      </x:c>
    </x:row>
    <x:row r="25" ht="70" customHeight="1">
      <x:c r="A25" s="46" t="str">
        <x:v>CASE-005</x:v>
      </x:c>
      <x:c r="B25" s="46" t="str">
        <x:v>S2</x:v>
      </x:c>
      <x:c r="C25" s="46" t="str">
        <x:v>ST2</x:v>
      </x:c>
      <x:c r="D25" s="46" t="str">
        <x:v>在期限内发出可证明的回应</x:v>
      </x:c>
      <x:c r="E25" s="46" t="str">
        <x:v>内部审批已完成且接近截止时。</x:v>
      </x:c>
      <x:c r="F25" s="46" t="str">
        <x:v>通过约定渠道发送并保留送达记录。</x:v>
      </x:c>
      <x:c r="G25" s="46" t="str">
        <x:v>We hereby accept your firm offer without modification.</x:v>
      </x:c>
      <x:c r="H25" s="46" t="str">
        <x:v>到期后才询问是否仍有效。</x:v>
      </x:c>
      <x:c r="I25" s="46" t="str">
        <x:v>提高合同成立与证据确定性。</x:v>
      </x:c>
      <x:c r="J25" s="46" t="str">
        <x:v>否</x:v>
      </x:c>
      <x:c r="K25" s="50" t="str">
        <x:f>IF(AND(A25&lt;&gt;"",B25&lt;&gt;"",C25&lt;&gt;"",D25&lt;&gt;"",E25&lt;&gt;"",F25&lt;&gt;"",I25&lt;&gt;""),"完整","请补充")</x:f>
        <x:v>完整</x:v>
      </x:c>
    </x:row>
    <x:row r="26" ht="70" customHeight="1">
      <x:c r="A26" s="46" t="str">
        <x:v>CASE-006</x:v>
      </x:c>
      <x:c r="B26" s="46" t="str">
        <x:v>S1</x:v>
      </x:c>
      <x:c r="C26" s="46" t="str">
        <x:v>ST1</x:v>
      </x:c>
      <x:c r="D26" s="46" t="str">
        <x:v>用客观标准建立还盘锚点</x:v>
      </x:c>
      <x:c r="E26" s="46" t="str">
        <x:v>存在市场、数量或生命周期成本依据时。</x:v>
      </x:c>
      <x:c r="F26" s="46" t="str">
        <x:v>先认可价值，再说明依据并提出具体目标价。</x:v>
      </x:c>
      <x:c r="G26" s="46" t="str">
        <x:v>Based on volume and comparable offers, we propose USD 278.</x:v>
      </x:c>
      <x:c r="H26" s="46" t="str">
        <x:v>虚构竞争报价。</x:v>
      </x:c>
      <x:c r="I26" s="46" t="str">
        <x:v>提高锚点的正当性与可讨论性。</x:v>
      </x:c>
      <x:c r="J26" s="46" t="str">
        <x:v>是</x:v>
      </x:c>
      <x:c r="K26" s="50" t="str">
        <x:f>IF(AND(A26&lt;&gt;"",B26&lt;&gt;"",C26&lt;&gt;"",D26&lt;&gt;"",E26&lt;&gt;"",F26&lt;&gt;"",I26&lt;&gt;""),"完整","请补充")</x:f>
        <x:v>完整</x:v>
      </x:c>
    </x:row>
    <x:row r="27" ht="70" customHeight="1">
      <x:c r="A27" s="46" t="str">
        <x:v>CASE-006</x:v>
      </x:c>
      <x:c r="B27" s="46" t="str">
        <x:v>S1</x:v>
      </x:c>
      <x:c r="C27" s="46" t="str">
        <x:v>ST2</x:v>
      </x:c>
      <x:c r="D27" s="46" t="str">
        <x:v>设置内部让步阶梯</x:v>
      </x:c>
      <x:c r="E27" s="46" t="str">
        <x:v>预计需要多轮缩小差距时。</x:v>
      </x:c>
      <x:c r="F27" s="46" t="str">
        <x:v>按预设步幅逐步让步，并为每一步索取回报。</x:v>
      </x:c>
      <x:c r="G27" s="46" t="str">
        <x:v>We could review our position if the warranty is extended.</x:v>
      </x:c>
      <x:c r="H27" s="46" t="str">
        <x:v>一次跳到最后接受价。</x:v>
      </x:c>
      <x:c r="I27" s="46" t="str">
        <x:v>保护议价空间并读取对方底线。</x:v>
      </x:c>
      <x:c r="J27" s="46" t="str">
        <x:v>否</x:v>
      </x:c>
      <x:c r="K27" s="50" t="str">
        <x:f>IF(AND(A27&lt;&gt;"",B27&lt;&gt;"",C27&lt;&gt;"",D27&lt;&gt;"",E27&lt;&gt;"",F27&lt;&gt;"",I27&lt;&gt;""),"完整","请补充")</x:f>
        <x:v>完整</x:v>
      </x:c>
    </x:row>
    <x:row r="28" ht="70" customHeight="1">
      <x:c r="A28" s="46" t="str">
        <x:v>CASE-006</x:v>
      </x:c>
      <x:c r="B28" s="46" t="str">
        <x:v>S2</x:v>
      </x:c>
      <x:c r="C28" s="46" t="str">
        <x:v>ST1</x:v>
      </x:c>
      <x:c r="D28" s="46" t="str">
        <x:v>实施条件让步</x:v>
      </x:c>
      <x:c r="E28" s="46" t="str">
        <x:v>双方有数量或付款等可交换变量时。</x:v>
      </x:c>
      <x:c r="F28" s="46" t="str">
        <x:v>把价格变化与明确回报绑定。</x:v>
      </x:c>
      <x:c r="G28" s="46" t="str">
        <x:v>If we increase the order to 1,200 units, could you improve the price?</x:v>
      </x:c>
      <x:c r="H28" s="46" t="str">
        <x:v>无条件先让步。</x:v>
      </x:c>
      <x:c r="I28" s="46" t="str">
        <x:v>确保每次让步获得价值。</x:v>
      </x:c>
      <x:c r="J28" s="46" t="str">
        <x:v>是</x:v>
      </x:c>
      <x:c r="K28" s="50" t="str">
        <x:f>IF(AND(A28&lt;&gt;"",B28&lt;&gt;"",C28&lt;&gt;"",D28&lt;&gt;"",E28&lt;&gt;"",F28&lt;&gt;"",I28&lt;&gt;""),"完整","请补充")</x:f>
        <x:v>完整</x:v>
      </x:c>
    </x:row>
    <x:row r="29" ht="70" customHeight="1">
      <x:c r="A29" s="46" t="str">
        <x:v>CASE-006</x:v>
      </x:c>
      <x:c r="B29" s="46" t="str">
        <x:v>S2</x:v>
      </x:c>
      <x:c r="C29" s="46" t="str">
        <x:v>ST2</x:v>
      </x:c>
      <x:c r="D29" s="46" t="str">
        <x:v>用成套方案跨议题交换</x:v>
      </x:c>
      <x:c r="E29" s="46" t="str">
        <x:v>单价分歧小但立场僵持时。</x:v>
      </x:c>
      <x:c r="F29" s="46" t="str">
        <x:v>组合价格、交期、备件和质保提出两个可选方案。</x:v>
      </x:c>
      <x:c r="G29" s="46" t="str">
        <x:v>We can consider USD 285 provided that you include spare parts and extended warranty.</x:v>
      </x:c>
      <x:c r="H29" s="46" t="str">
        <x:v>逐项孤立讨价还价。</x:v>
      </x:c>
      <x:c r="I29" s="46" t="str">
        <x:v>创造非价格价值并加速决策。</x:v>
      </x:c>
      <x:c r="J29" s="46" t="str">
        <x:v>否</x:v>
      </x:c>
      <x:c r="K29" s="50" t="str">
        <x:f>IF(AND(A29&lt;&gt;"",B29&lt;&gt;"",C29&lt;&gt;"",D29&lt;&gt;"",E29&lt;&gt;"",F29&lt;&gt;"",I29&lt;&gt;""),"完整","请补充")</x:f>
        <x:v>完整</x:v>
      </x:c>
    </x:row>
    <x:row r="30" ht="70" customHeight="1">
      <x:c r="A30" s="46" t="str">
        <x:v>CASE-007</x:v>
      </x:c>
      <x:c r="B30" s="46" t="str">
        <x:v>S1</x:v>
      </x:c>
      <x:c r="C30" s="46" t="str">
        <x:v>ST1</x:v>
      </x:c>
      <x:c r="D30" s="46" t="str">
        <x:v>探询付款立场背后的风险</x:v>
      </x:c>
      <x:c r="E30" s="46" t="str">
        <x:v>对方坚守某种付款方式时。</x:v>
      </x:c>
      <x:c r="F30" s="46" t="str">
        <x:v>确认其核心关切是银行保障、现金流还是买方信用。</x:v>
      </x:c>
      <x:c r="G30" s="46" t="str">
        <x:v>Is your main concern payment security for the first order?</x:v>
      </x:c>
      <x:c r="H30" s="46" t="str">
        <x:v>反复要求对方让步而不问原因。</x:v>
      </x:c>
      <x:c r="I30" s="46" t="str">
        <x:v>为替代方案找到真实约束。</x:v>
      </x:c>
      <x:c r="J30" s="46" t="str">
        <x:v>是</x:v>
      </x:c>
      <x:c r="K30" s="50" t="str">
        <x:f>IF(AND(A30&lt;&gt;"",B30&lt;&gt;"",C30&lt;&gt;"",D30&lt;&gt;"",E30&lt;&gt;"",F30&lt;&gt;"",I30&lt;&gt;""),"完整","请补充")</x:f>
        <x:v>完整</x:v>
      </x:c>
    </x:row>
    <x:row r="31" ht="70" customHeight="1">
      <x:c r="A31" s="46" t="str">
        <x:v>CASE-007</x:v>
      </x:c>
      <x:c r="B31" s="46" t="str">
        <x:v>S1</x:v>
      </x:c>
      <x:c r="C31" s="46" t="str">
        <x:v>ST2</x:v>
      </x:c>
      <x:c r="D31" s="46" t="str">
        <x:v>设计分阶段付款替代方案</x:v>
      </x:c>
      <x:c r="E31" s="46" t="str">
        <x:v>双方可接受风险逐步降低时。</x:v>
      </x:c>
      <x:c r="F31" s="46" t="str">
        <x:v>提出首单 L/C、复购后评估 T/T 的阶段安排。</x:v>
      </x:c>
      <x:c r="G31" s="46" t="str">
        <x:v>We can use L/C at sight for the first order and review T/T after two successful shipments.</x:v>
      </x:c>
      <x:c r="H31" s="46" t="str">
        <x:v>要求首单直接赊销。</x:v>
      </x:c>
      <x:c r="I31" s="46" t="str">
        <x:v>满足当前底线并保留未来优化。</x:v>
      </x:c>
      <x:c r="J31" s="46" t="str">
        <x:v>否</x:v>
      </x:c>
      <x:c r="K31" s="50" t="str">
        <x:f>IF(AND(A31&lt;&gt;"",B31&lt;&gt;"",C31&lt;&gt;"",D31&lt;&gt;"",E31&lt;&gt;"",F31&lt;&gt;"",I31&lt;&gt;""),"完整","请补充")</x:f>
        <x:v>完整</x:v>
      </x:c>
    </x:row>
    <x:row r="32" ht="70" customHeight="1">
      <x:c r="A32" s="46" t="str">
        <x:v>CASE-007</x:v>
      </x:c>
      <x:c r="B32" s="46" t="str">
        <x:v>S2</x:v>
      </x:c>
      <x:c r="C32" s="46" t="str">
        <x:v>ST1</x:v>
      </x:c>
      <x:c r="D32" s="46" t="str">
        <x:v>交换交期与数量条件</x:v>
      </x:c>
      <x:c r="E32" s="46" t="str">
        <x:v>卖方可通过排产优先改善交期时。</x:v>
      </x:c>
      <x:c r="F32" s="46" t="str">
        <x:v>确认提量能带来的具体天数，并设置不可延误条件。</x:v>
      </x:c>
      <x:c r="G32" s="46" t="str">
        <x:v>If we confirm 1,200 units, can you guarantee shipment within 38 days?</x:v>
      </x:c>
      <x:c r="H32" s="46" t="str">
        <x:v>只接受模糊的尽快装运。</x:v>
      </x:c>
      <x:c r="I32" s="46" t="str">
        <x:v>把让步转为可验证承诺。</x:v>
      </x:c>
      <x:c r="J32" s="46" t="str">
        <x:v>是</x:v>
      </x:c>
      <x:c r="K32" s="50" t="str">
        <x:f>IF(AND(A32&lt;&gt;"",B32&lt;&gt;"",C32&lt;&gt;"",D32&lt;&gt;"",E32&lt;&gt;"",F32&lt;&gt;"",I32&lt;&gt;""),"完整","请补充")</x:f>
        <x:v>完整</x:v>
      </x:c>
    </x:row>
    <x:row r="33" ht="70" customHeight="1">
      <x:c r="A33" s="46" t="str">
        <x:v>CASE-007</x:v>
      </x:c>
      <x:c r="B33" s="46" t="str">
        <x:v>S2</x:v>
      </x:c>
      <x:c r="C33" s="46" t="str">
        <x:v>ST2</x:v>
      </x:c>
      <x:c r="D33" s="46" t="str">
        <x:v>提出多方案并行比较</x:v>
      </x:c>
      <x:c r="E33" s="46" t="str">
        <x:v>不同议题存在多种组合时。</x:v>
      </x:c>
      <x:c r="F33" s="46" t="str">
        <x:v>给出两个价格、付款、交期组合让对方选择。</x:v>
      </x:c>
      <x:c r="G33" s="46" t="str">
        <x:v>Option A keeps 800 units with 45 days; Option B increases volume for 38 days.</x:v>
      </x:c>
      <x:c r="H33" s="46" t="str">
        <x:v>一次只谈一个议题导致反复。</x:v>
      </x:c>
      <x:c r="I33" s="46" t="str">
        <x:v>揭示双方偏好并提高成交效率。</x:v>
      </x:c>
      <x:c r="J33" s="46" t="str">
        <x:v>否</x:v>
      </x:c>
      <x:c r="K33" s="50" t="str">
        <x:f>IF(AND(A33&lt;&gt;"",B33&lt;&gt;"",C33&lt;&gt;"",D33&lt;&gt;"",E33&lt;&gt;"",F33&lt;&gt;"",I33&lt;&gt;""),"完整","请补充")</x:f>
        <x:v>完整</x:v>
      </x:c>
    </x:row>
    <x:row r="34" ht="70" customHeight="1">
      <x:c r="A34" s="46" t="str">
        <x:v>CASE-008</x:v>
      </x:c>
      <x:c r="B34" s="46" t="str">
        <x:v>S1</x:v>
      </x:c>
      <x:c r="C34" s="46" t="str">
        <x:v>ST1</x:v>
      </x:c>
      <x:c r="D34" s="46" t="str">
        <x:v>用有条件接受换取增值</x:v>
      </x:c>
      <x:c r="E34" s="46" t="str">
        <x:v>核心价格可接受且非价格议题有空间时。</x:v>
      </x:c>
      <x:c r="F34" s="46" t="str">
        <x:v>明确表示可接受价格，前提是对方确认具体增值。</x:v>
      </x:c>
      <x:c r="G34" s="46" t="str">
        <x:v>We can accept USD 285 provided that the warranty is extended to 24 months.</x:v>
      </x:c>
      <x:c r="H34" s="46" t="str">
        <x:v>用 We accept 后再附新条件。</x:v>
      </x:c>
      <x:c r="I34" s="46" t="str">
        <x:v>在价格不变时获得实质价值。</x:v>
      </x:c>
      <x:c r="J34" s="46" t="str">
        <x:v>是</x:v>
      </x:c>
      <x:c r="K34" s="50" t="str">
        <x:f>IF(AND(A34&lt;&gt;"",B34&lt;&gt;"",C34&lt;&gt;"",D34&lt;&gt;"",E34&lt;&gt;"",F34&lt;&gt;"",I34&lt;&gt;""),"完整","请补充")</x:f>
        <x:v>完整</x:v>
      </x:c>
    </x:row>
    <x:row r="35" ht="70" customHeight="1">
      <x:c r="A35" s="46" t="str">
        <x:v>CASE-008</x:v>
      </x:c>
      <x:c r="B35" s="46" t="str">
        <x:v>S1</x:v>
      </x:c>
      <x:c r="C35" s="46" t="str">
        <x:v>ST2</x:v>
      </x:c>
      <x:c r="D35" s="46" t="str">
        <x:v>评估继续谈判的边际价值</x:v>
      </x:c>
      <x:c r="E35" s="46" t="str">
        <x:v>双方已接近成交且时间成本上升时。</x:v>
      </x:c>
      <x:c r="F35" s="46" t="str">
        <x:v>比较剩余价差、失败风险和长期合作价值。</x:v>
      </x:c>
      <x:c r="G35" s="46" t="str">
        <x:v>The remaining gap is small; let us focus on a workable package.</x:v>
      </x:c>
      <x:c r="H35" s="46" t="str">
        <x:v>为象征性让步无限拖延。</x:v>
      </x:c>
      <x:c r="I35" s="46" t="str">
        <x:v>避免赢了单价却失去交易。</x:v>
      </x:c>
      <x:c r="J35" s="46" t="str">
        <x:v>否</x:v>
      </x:c>
      <x:c r="K35" s="50" t="str">
        <x:f>IF(AND(A35&lt;&gt;"",B35&lt;&gt;"",C35&lt;&gt;"",D35&lt;&gt;"",E35&lt;&gt;"",F35&lt;&gt;"",I35&lt;&gt;""),"完整","请补充")</x:f>
        <x:v>完整</x:v>
      </x:c>
    </x:row>
    <x:row r="36" ht="70" customHeight="1">
      <x:c r="A36" s="46" t="str">
        <x:v>CASE-008</x:v>
      </x:c>
      <x:c r="B36" s="46" t="str">
        <x:v>S2</x:v>
      </x:c>
      <x:c r="C36" s="46" t="str">
        <x:v>ST1</x:v>
      </x:c>
      <x:c r="D36" s="46" t="str">
        <x:v>量化并写入增值条款</x:v>
      </x:c>
      <x:c r="E36" s="46" t="str">
        <x:v>对方愿意提供质保、备件或服务时。</x:v>
      </x:c>
      <x:c r="F36" s="46" t="str">
        <x:v>确认期限、数量、响应时间和费用归属。</x:v>
      </x:c>
      <x:c r="G36" s="46" t="str">
        <x:v>Please confirm 2% spare parts free of charge and a 24-month warranty.</x:v>
      </x:c>
      <x:c r="H36" s="46" t="str">
        <x:v>接受 complimentary support 等模糊表述。</x:v>
      </x:c>
      <x:c r="I36" s="46" t="str">
        <x:v>让非价格价值可核验。</x:v>
      </x:c>
      <x:c r="J36" s="46" t="str">
        <x:v>是</x:v>
      </x:c>
      <x:c r="K36" s="50" t="str">
        <x:f>IF(AND(A36&lt;&gt;"",B36&lt;&gt;"",C36&lt;&gt;"",D36&lt;&gt;"",E36&lt;&gt;"",F36&lt;&gt;"",I36&lt;&gt;""),"完整","请补充")</x:f>
        <x:v>完整</x:v>
      </x:c>
    </x:row>
    <x:row r="37" ht="70" customHeight="1">
      <x:c r="A37" s="46" t="str">
        <x:v>CASE-008</x:v>
      </x:c>
      <x:c r="B37" s="46" t="str">
        <x:v>S2</x:v>
      </x:c>
      <x:c r="C37" s="46" t="str">
        <x:v>ST2</x:v>
      </x:c>
      <x:c r="D37" s="46" t="str">
        <x:v>终局逐项总结并取得确认</x:v>
      </x:c>
      <x:c r="E37" s="46" t="str">
        <x:v>双方已达成成套方案时。</x:v>
      </x:c>
      <x:c r="F37" s="46" t="str">
        <x:v>回读所有条款并要求对方明确确认。</x:v>
      </x:c>
      <x:c r="G37" s="46" t="str">
        <x:v>To confirm our agreement, the final terms are as follows: ...</x:v>
      </x:c>
      <x:c r="H37" s="46" t="str">
        <x:v>只说 Deal without条款总结。</x:v>
      </x:c>
      <x:c r="I37" s="46" t="str">
        <x:v>减少成交后的认知差异。</x:v>
      </x:c>
      <x:c r="J37" s="46" t="str">
        <x:v>否</x:v>
      </x:c>
      <x:c r="K37" s="50" t="str">
        <x:f>IF(AND(A37&lt;&gt;"",B37&lt;&gt;"",C37&lt;&gt;"",D37&lt;&gt;"",E37&lt;&gt;"",F37&lt;&gt;"",I37&lt;&gt;""),"完整","请补充")</x:f>
        <x:v>完整</x:v>
      </x:c>
    </x:row>
    <x:row r="38" ht="70" customHeight="1">
      <x:c r="A38" s="46" t="str">
        <x:v>CASE-009</x:v>
      </x:c>
      <x:c r="B38" s="46" t="str">
        <x:v>S1</x:v>
      </x:c>
      <x:c r="C38" s="46" t="str">
        <x:v>ST1</x:v>
      </x:c>
      <x:c r="D38" s="46" t="str">
        <x:v>逐项镜像复述成交条款</x:v>
      </x:c>
      <x:c r="E38" s="46" t="str">
        <x:v>条件分散在多轮谈判时。</x:v>
      </x:c>
      <x:c r="F38" s="46" t="str">
        <x:v>按标的、数量、单价总额、术语、付款、交期和增值逐项确认。</x:v>
      </x:c>
      <x:c r="G38" s="46" t="str">
        <x:v>We confirm the order on the following terms: ...</x:v>
      </x:c>
      <x:c r="H38" s="46" t="str">
        <x:v>只写 We accept your offer。</x:v>
      </x:c>
      <x:c r="I38" s="46" t="str">
        <x:v>建立统一的成交基线。</x:v>
      </x:c>
      <x:c r="J38" s="46" t="str">
        <x:v>是</x:v>
      </x:c>
      <x:c r="K38" s="50" t="str">
        <x:f>IF(AND(A38&lt;&gt;"",B38&lt;&gt;"",C38&lt;&gt;"",D38&lt;&gt;"",E38&lt;&gt;"",F38&lt;&gt;"",I38&lt;&gt;""),"完整","请补充")</x:f>
        <x:v>完整</x:v>
      </x:c>
    </x:row>
    <x:row r="39" ht="70" customHeight="1">
      <x:c r="A39" s="46" t="str">
        <x:v>CASE-009</x:v>
      </x:c>
      <x:c r="B39" s="46" t="str">
        <x:v>S1</x:v>
      </x:c>
      <x:c r="C39" s="46" t="str">
        <x:v>ST2</x:v>
      </x:c>
      <x:c r="D39" s="46" t="str">
        <x:v>核算金额与时间联动</x:v>
      </x:c>
      <x:c r="E39" s="46" t="str">
        <x:v>单价、数量和起算点确定时。</x:v>
      </x:c>
      <x:c r="F39" s="46" t="str">
        <x:v>复算总额并说明装运期从何时起算。</x:v>
      </x:c>
      <x:c r="G39" s="46" t="str">
        <x:v>The total contract value is USD 228,000, with shipment within 45 days after L/C receipt.</x:v>
      </x:c>
      <x:c r="H39" s="46" t="str">
        <x:v>复制数字而不复核。</x:v>
      </x:c>
      <x:c r="I39" s="46" t="str">
        <x:v>减少计算和时间解释错误。</x:v>
      </x:c>
      <x:c r="J39" s="46" t="str">
        <x:v>否</x:v>
      </x:c>
      <x:c r="K39" s="50" t="str">
        <x:f>IF(AND(A39&lt;&gt;"",B39&lt;&gt;"",C39&lt;&gt;"",D39&lt;&gt;"",E39&lt;&gt;"",F39&lt;&gt;"",I39&lt;&gt;""),"完整","请补充")</x:f>
        <x:v>完整</x:v>
      </x:c>
    </x:row>
    <x:row r="40" ht="70" customHeight="1">
      <x:c r="A40" s="46" t="str">
        <x:v>CASE-009</x:v>
      </x:c>
      <x:c r="B40" s="46" t="str">
        <x:v>S2</x:v>
      </x:c>
      <x:c r="C40" s="46" t="str">
        <x:v>ST1</x:v>
      </x:c>
      <x:c r="D40" s="46" t="str">
        <x:v>对照表审查销售确认书</x:v>
      </x:c>
      <x:c r="E40" s="46" t="str">
        <x:v>收到正式合同草稿时。</x:v>
      </x:c>
      <x:c r="F40" s="46" t="str">
        <x:v>逐字段与成交清单比对并标出偏差。</x:v>
      </x:c>
      <x:c r="G40" s="46" t="str">
        <x:v>Clause 6 differs from our agreed 24-month warranty and requires correction.</x:v>
      </x:c>
      <x:c r="H40" s="46" t="str">
        <x:v>只核对价格。</x:v>
      </x:c>
      <x:c r="I40" s="46" t="str">
        <x:v>在签署前消除文本偏差。</x:v>
      </x:c>
      <x:c r="J40" s="46" t="str">
        <x:v>是</x:v>
      </x:c>
      <x:c r="K40" s="50" t="str">
        <x:f>IF(AND(A40&lt;&gt;"",B40&lt;&gt;"",C40&lt;&gt;"",D40&lt;&gt;"",E40&lt;&gt;"",F40&lt;&gt;"",I40&lt;&gt;""),"完整","请补充")</x:f>
        <x:v>完整</x:v>
      </x:c>
    </x:row>
    <x:row r="41" ht="70" customHeight="1">
      <x:c r="A41" s="46" t="str">
        <x:v>CASE-009</x:v>
      </x:c>
      <x:c r="B41" s="46" t="str">
        <x:v>S2</x:v>
      </x:c>
      <x:c r="C41" s="46" t="str">
        <x:v>ST2</x:v>
      </x:c>
      <x:c r="D41" s="46" t="str">
        <x:v>明确文件流转和责任人</x:v>
      </x:c>
      <x:c r="E41" s="46" t="str">
        <x:v>条款已一致准备签署时。</x:v>
      </x:c>
      <x:c r="F41" s="46" t="str">
        <x:v>请求签章版本、回传方式和开证所需信息。</x:v>
      </x:c>
      <x:c r="G41" s="46" t="str">
        <x:v>Please send the signed Sales Confirmation and banking details for L/C application.</x:v>
      </x:c>
      <x:c r="H41" s="46" t="str">
        <x:v>默认下一步会自动发生。</x:v>
      </x:c>
      <x:c r="I41" s="46" t="str">
        <x:v>把成交推进到履约准备。</x:v>
      </x:c>
      <x:c r="J41" s="46" t="str">
        <x:v>否</x:v>
      </x:c>
      <x:c r="K41" s="50" t="str">
        <x:f>IF(AND(A41&lt;&gt;"",B41&lt;&gt;"",C41&lt;&gt;"",D41&lt;&gt;"",E41&lt;&gt;"",F41&lt;&gt;"",I41&lt;&gt;""),"完整","请补充")</x:f>
        <x:v>完整</x:v>
      </x:c>
    </x:row>
    <x:row r="42" ht="70" customHeight="1">
      <x:c r="A42" s="46" t="str">
        <x:v>CASE-010</x:v>
      </x:c>
      <x:c r="B42" s="46" t="str">
        <x:v>S1</x:v>
      </x:c>
      <x:c r="C42" s="46" t="str">
        <x:v>ST1</x:v>
      </x:c>
      <x:c r="D42" s="46" t="str">
        <x:v>用交期影响说明开证紧迫性</x:v>
      </x:c>
      <x:c r="E42" s="46" t="str">
        <x:v>开证延迟会直接推迟排产时。</x:v>
      </x:c>
      <x:c r="F42" s="46" t="str">
        <x:v>把提醒与合同起算点和业务后果连接。</x:v>
      </x:c>
      <x:c r="G42" s="46" t="str">
        <x:v>As shipment is due 45 days after L/C receipt, timely issuance is essential.</x:v>
      </x:c>
      <x:c r="H42" s="46" t="str">
        <x:v>只写 Urgent! 多次催促。</x:v>
      </x:c>
      <x:c r="I42" s="46" t="str">
        <x:v>让相关方理解优先级依据。</x:v>
      </x:c>
      <x:c r="J42" s="46" t="str">
        <x:v>是</x:v>
      </x:c>
      <x:c r="K42" s="50" t="str">
        <x:f>IF(AND(A42&lt;&gt;"",B42&lt;&gt;"",C42&lt;&gt;"",D42&lt;&gt;"",E42&lt;&gt;"",F42&lt;&gt;"",I42&lt;&gt;""),"完整","请补充")</x:f>
        <x:v>完整</x:v>
      </x:c>
    </x:row>
    <x:row r="43" ht="70" customHeight="1">
      <x:c r="A43" s="46" t="str">
        <x:v>CASE-010</x:v>
      </x:c>
      <x:c r="B43" s="46" t="str">
        <x:v>S1</x:v>
      </x:c>
      <x:c r="C43" s="46" t="str">
        <x:v>ST2</x:v>
      </x:c>
      <x:c r="D43" s="46" t="str">
        <x:v>给出责任人与可兑现节点</x:v>
      </x:c>
      <x:c r="E43" s="46" t="str">
        <x:v>开证涉及采购、财务和银行协同。</x:v>
      </x:c>
      <x:c r="F43" s="46" t="str">
        <x:v>说明当前负责人、完成步骤和下一次更新时间。</x:v>
      </x:c>
      <x:c r="G43" s="46" t="str">
        <x:v>Our finance team will submit the application by Tuesday and confirm the SWIFT reference.</x:v>
      </x:c>
      <x:c r="H43" s="46" t="str">
        <x:v>给出未经确认的绝对承诺。</x:v>
      </x:c>
      <x:c r="I43" s="46" t="str">
        <x:v>提高跨部门执行可见性。</x:v>
      </x:c>
      <x:c r="J43" s="46" t="str">
        <x:v>否</x:v>
      </x:c>
      <x:c r="K43" s="50" t="str">
        <x:f>IF(AND(A43&lt;&gt;"",B43&lt;&gt;"",C43&lt;&gt;"",D43&lt;&gt;"",E43&lt;&gt;"",F43&lt;&gt;"",I43&lt;&gt;""),"完整","请补充")</x:f>
        <x:v>完整</x:v>
      </x:c>
    </x:row>
    <x:row r="44" ht="70" customHeight="1">
      <x:c r="A44" s="46" t="str">
        <x:v>CASE-010</x:v>
      </x:c>
      <x:c r="B44" s="46" t="str">
        <x:v>S2</x:v>
      </x:c>
      <x:c r="C44" s="46" t="str">
        <x:v>ST1</x:v>
      </x:c>
      <x:c r="D44" s="46" t="str">
        <x:v>开证前执行条款清单复核</x:v>
      </x:c>
      <x:c r="E44" s="46" t="str">
        <x:v>银行草稿已生成但尚未正式开立。</x:v>
      </x:c>
      <x:c r="F44" s="46" t="str">
        <x:v>核对受益人、金额、有效期、装运日、单据和转船分批。</x:v>
      </x:c>
      <x:c r="G44" s="46" t="str">
        <x:v>Please align the latest shipment date and presentation period with the contract.</x:v>
      </x:c>
      <x:c r="H44" s="46" t="str">
        <x:v>先开证再集中改错。</x:v>
      </x:c>
      <x:c r="I44" s="46" t="str">
        <x:v>减少改证次数和费用。</x:v>
      </x:c>
      <x:c r="J44" s="46" t="str">
        <x:v>是</x:v>
      </x:c>
      <x:c r="K44" s="50" t="str">
        <x:f>IF(AND(A44&lt;&gt;"",B44&lt;&gt;"",C44&lt;&gt;"",D44&lt;&gt;"",E44&lt;&gt;"",F44&lt;&gt;"",I44&lt;&gt;""),"完整","请补充")</x:f>
        <x:v>完整</x:v>
      </x:c>
    </x:row>
    <x:row r="45" ht="70" customHeight="1">
      <x:c r="A45" s="46" t="str">
        <x:v>CASE-010</x:v>
      </x:c>
      <x:c r="B45" s="46" t="str">
        <x:v>S2</x:v>
      </x:c>
      <x:c r="C45" s="46" t="str">
        <x:v>ST2</x:v>
      </x:c>
      <x:c r="D45" s="46" t="str">
        <x:v>对偏差提出一次性修正</x:v>
      </x:c>
      <x:c r="E45" s="46" t="str">
        <x:v>草稿存在多处不一致时。</x:v>
      </x:c>
      <x:c r="F45" s="46" t="str">
        <x:v>集中列出修改项、合同依据和期望文本。</x:v>
      </x:c>
      <x:c r="G45" s="46" t="str">
        <x:v>Kindly revise the draft in the following three respects before issuance.</x:v>
      </x:c>
      <x:c r="H45" s="46" t="str">
        <x:v>零散逐条追加修改。</x:v>
      </x:c>
      <x:c r="I45" s="46" t="str">
        <x:v>降低沟通往返和遗漏。</x:v>
      </x:c>
      <x:c r="J45" s="46" t="str">
        <x:v>否</x:v>
      </x:c>
      <x:c r="K45" s="50" t="str">
        <x:f>IF(AND(A45&lt;&gt;"",B45&lt;&gt;"",C45&lt;&gt;"",D45&lt;&gt;"",E45&lt;&gt;"",F45&lt;&gt;"",I45&lt;&gt;""),"完整","请补充")</x:f>
        <x:v>完整</x:v>
      </x:c>
    </x:row>
    <x:row r="46" ht="70" customHeight="1">
      <x:c r="A46" s="46" t="str">
        <x:v>CASE-011</x:v>
      </x:c>
      <x:c r="B46" s="46" t="str">
        <x:v>S1</x:v>
      </x:c>
      <x:c r="C46" s="46" t="str">
        <x:v>ST1</x:v>
      </x:c>
      <x:c r="D46" s="46" t="str">
        <x:v>按风险提出分层包装要求</x:v>
      </x:c>
      <x:c r="E46" s="46" t="str">
        <x:v>产品存在潮湿、静电和冲击风险时。</x:v>
      </x:c>
      <x:c r="F46" s="46" t="str">
        <x:v>分别规定防静电袋、干燥剂、缓冲、内箱和外箱性能。</x:v>
      </x:c>
      <x:c r="G46" s="46" t="str">
        <x:v>Each module shall be sealed in an anti-static bag with desiccant and cushioning.</x:v>
      </x:c>
      <x:c r="H46" s="46" t="str">
        <x:v>只要求 best packing。</x:v>
      </x:c>
      <x:c r="I46" s="46" t="str">
        <x:v>让防护要求可执行和可验收。</x:v>
      </x:c>
      <x:c r="J46" s="46" t="str">
        <x:v>是</x:v>
      </x:c>
      <x:c r="K46" s="50" t="str">
        <x:f>IF(AND(A46&lt;&gt;"",B46&lt;&gt;"",C46&lt;&gt;"",D46&lt;&gt;"",E46&lt;&gt;"",F46&lt;&gt;"",I46&lt;&gt;""),"完整","请补充")</x:f>
        <x:v>完整</x:v>
      </x:c>
    </x:row>
    <x:row r="47" ht="70" customHeight="1">
      <x:c r="A47" s="46" t="str">
        <x:v>CASE-011</x:v>
      </x:c>
      <x:c r="B47" s="46" t="str">
        <x:v>S1</x:v>
      </x:c>
      <x:c r="C47" s="46" t="str">
        <x:v>ST2</x:v>
      </x:c>
      <x:c r="D47" s="46" t="str">
        <x:v>用测试或结果标准控制过度设计</x:v>
      </x:c>
      <x:c r="E47" s="46" t="str">
        <x:v>双方对包装强度和成本有分歧时。</x:v>
      </x:c>
      <x:c r="F47" s="46" t="str">
        <x:v>约定跌落、防潮或堆码结果标准，允许卖方优化结构。</x:v>
      </x:c>
      <x:c r="G47" s="46" t="str">
        <x:v>The packing must pass the agreed drop and moisture-resistance tests.</x:v>
      </x:c>
      <x:c r="H47" s="46" t="str">
        <x:v>指定昂贵材料却不说明风险。</x:v>
      </x:c>
      <x:c r="I47" s="46" t="str">
        <x:v>在保护结果与成本间平衡。</x:v>
      </x:c>
      <x:c r="J47" s="46" t="str">
        <x:v>否</x:v>
      </x:c>
      <x:c r="K47" s="50" t="str">
        <x:f>IF(AND(A47&lt;&gt;"",B47&lt;&gt;"",C47&lt;&gt;"",D47&lt;&gt;"",E47&lt;&gt;"",F47&lt;&gt;"",I47&lt;&gt;""),"完整","请补充")</x:f>
        <x:v>完整</x:v>
      </x:c>
    </x:row>
    <x:row r="48" ht="70" customHeight="1">
      <x:c r="A48" s="46" t="str">
        <x:v>CASE-011</x:v>
      </x:c>
      <x:c r="B48" s="46" t="str">
        <x:v>S2</x:v>
      </x:c>
      <x:c r="C48" s="46" t="str">
        <x:v>ST1</x:v>
      </x:c>
      <x:c r="D48" s="46" t="str">
        <x:v>建立标准化唛头字段</x:v>
      </x:c>
      <x:c r="E48" s="46" t="str">
        <x:v>多箱、多批或第三方仓库收货时。</x:v>
      </x:c>
      <x:c r="F48" s="46" t="str">
        <x:v>列出收货人、合同号、目的港、箱号、毛净重和操作标志。</x:v>
      </x:c>
      <x:c r="G48" s="46" t="str">
        <x:v>Shipping marks shall include contract number, carton number and destination.</x:v>
      </x:c>
      <x:c r="H48" s="46" t="str">
        <x:v>使用不可追溯的简称。</x:v>
      </x:c>
      <x:c r="I48" s="46" t="str">
        <x:v>提高物流识别和清点效率。</x:v>
      </x:c>
      <x:c r="J48" s="46" t="str">
        <x:v>是</x:v>
      </x:c>
      <x:c r="K48" s="50" t="str">
        <x:f>IF(AND(A48&lt;&gt;"",B48&lt;&gt;"",C48&lt;&gt;"",D48&lt;&gt;"",E48&lt;&gt;"",F48&lt;&gt;"",I48&lt;&gt;""),"完整","请补充")</x:f>
        <x:v>完整</x:v>
      </x:c>
    </x:row>
    <x:row r="49" ht="70" customHeight="1">
      <x:c r="A49" s="46" t="str">
        <x:v>CASE-011</x:v>
      </x:c>
      <x:c r="B49" s="46" t="str">
        <x:v>S2</x:v>
      </x:c>
      <x:c r="C49" s="46" t="str">
        <x:v>ST2</x:v>
      </x:c>
      <x:c r="D49" s="46" t="str">
        <x:v>确认唛头样稿后批量印制</x:v>
      </x:c>
      <x:c r="E49" s="46" t="str">
        <x:v>唛头包含客户自定义信息时。</x:v>
      </x:c>
      <x:c r="F49" s="46" t="str">
        <x:v>要求卖方先提交样稿，买方在截止日前一次确认。</x:v>
      </x:c>
      <x:c r="G49" s="46" t="str">
        <x:v>Please submit the mark layout for approval before mass printing.</x:v>
      </x:c>
      <x:c r="H49" s="46" t="str">
        <x:v>装箱后才首次确认。</x:v>
      </x:c>
      <x:c r="I49" s="46" t="str">
        <x:v>避免批量返工和装运延迟。</x:v>
      </x:c>
      <x:c r="J49" s="46" t="str">
        <x:v>否</x:v>
      </x:c>
      <x:c r="K49" s="50" t="str">
        <x:f>IF(AND(A49&lt;&gt;"",B49&lt;&gt;"",C49&lt;&gt;"",D49&lt;&gt;"",E49&lt;&gt;"",F49&lt;&gt;"",I49&lt;&gt;""),"完整","请补充")</x:f>
        <x:v>完整</x:v>
      </x:c>
    </x:row>
    <x:row r="50" ht="70" customHeight="1">
      <x:c r="A50" s="46" t="str">
        <x:v>CASE-012</x:v>
      </x:c>
      <x:c r="B50" s="46" t="str">
        <x:v>S1</x:v>
      </x:c>
      <x:c r="C50" s="46" t="str">
        <x:v>ST1</x:v>
      </x:c>
      <x:c r="D50" s="46" t="str">
        <x:v>以项目完整性说明拒绝分批</x:v>
      </x:c>
      <x:c r="E50" s="46" t="str">
        <x:v>设备需同时安装或分批产生明显额外成本时。</x:v>
      </x:c>
      <x:c r="F50" s="46" t="str">
        <x:v>说明业务依据并要求一次装运。</x:v>
      </x:c>
      <x:c r="G50" s="46" t="str">
        <x:v>Partial shipment is not acceptable because all units are required for one installation.</x:v>
      </x:c>
      <x:c r="H50" s="46" t="str">
        <x:v>无理由说 absolutely no。</x:v>
      </x:c>
      <x:c r="I50" s="46" t="str">
        <x:v>让拒绝具有可理解的业务基础。</x:v>
      </x:c>
      <x:c r="J50" s="46" t="str">
        <x:v>是</x:v>
      </x:c>
      <x:c r="K50" s="50" t="str">
        <x:f>IF(AND(A50&lt;&gt;"",B50&lt;&gt;"",C50&lt;&gt;"",D50&lt;&gt;"",E50&lt;&gt;"",F50&lt;&gt;"",I50&lt;&gt;""),"完整","请补充")</x:f>
        <x:v>完整</x:v>
      </x:c>
    </x:row>
    <x:row r="51" ht="70" customHeight="1">
      <x:c r="A51" s="46" t="str">
        <x:v>CASE-012</x:v>
      </x:c>
      <x:c r="B51" s="46" t="str">
        <x:v>S1</x:v>
      </x:c>
      <x:c r="C51" s="46" t="str">
        <x:v>ST2</x:v>
      </x:c>
      <x:c r="D51" s="46" t="str">
        <x:v>把分批决定写入信用证</x:v>
      </x:c>
      <x:c r="E51" s="46" t="str">
        <x:v>最终分批安排与默认规则可能不同。</x:v>
      </x:c>
      <x:c r="F51" s="46" t="str">
        <x:v>明确 partial shipments allowed/not allowed 并同步数量与日期。</x:v>
      </x:c>
      <x:c r="G51" s="46" t="str">
        <x:v>Please ensure the L/C states partial shipments not allowed.</x:v>
      </x:c>
      <x:c r="H51" s="46" t="str">
        <x:v>只在邮件中约定。</x:v>
      </x:c>
      <x:c r="I51" s="46" t="str">
        <x:v>使银行单据审查与商业安排一致。</x:v>
      </x:c>
      <x:c r="J51" s="46" t="str">
        <x:v>否</x:v>
      </x:c>
      <x:c r="K51" s="50" t="str">
        <x:f>IF(AND(A51&lt;&gt;"",B51&lt;&gt;"",C51&lt;&gt;"",D51&lt;&gt;"",E51&lt;&gt;"",F51&lt;&gt;"",I51&lt;&gt;""),"完整","请补充")</x:f>
        <x:v>完整</x:v>
      </x:c>
    </x:row>
    <x:row r="52" ht="70" customHeight="1">
      <x:c r="A52" s="46" t="str">
        <x:v>CASE-012</x:v>
      </x:c>
      <x:c r="B52" s="46" t="str">
        <x:v>S2</x:v>
      </x:c>
      <x:c r="C52" s="46" t="str">
        <x:v>ST1</x:v>
      </x:c>
      <x:c r="D52" s="46" t="str">
        <x:v>有条件接受转船</x:v>
      </x:c>
      <x:c r="E52" s="46" t="str">
        <x:v>转船有现实必要且不显著增加风险时。</x:v>
      </x:c>
      <x:c r="F52" s="46" t="str">
        <x:v>将接受与中转港、总交期、承运安排和通知绑定。</x:v>
      </x:c>
      <x:c r="G52" s="46" t="str">
        <x:v>Transshipment via Hong Kong is acceptable provided the final delivery date remains unchanged.</x:v>
      </x:c>
      <x:c r="H52" s="46" t="str">
        <x:v>接受 without delay 等模糊承诺。</x:v>
      </x:c>
      <x:c r="I52" s="46" t="str">
        <x:v>保留物流灵活性同时控制交期。</x:v>
      </x:c>
      <x:c r="J52" s="46" t="str">
        <x:v>是</x:v>
      </x:c>
      <x:c r="K52" s="50" t="str">
        <x:f>IF(AND(A52&lt;&gt;"",B52&lt;&gt;"",C52&lt;&gt;"",D52&lt;&gt;"",E52&lt;&gt;"",F52&lt;&gt;"",I52&lt;&gt;""),"完整","请补充")</x:f>
        <x:v>完整</x:v>
      </x:c>
    </x:row>
    <x:row r="53" ht="70" customHeight="1">
      <x:c r="A53" s="46" t="str">
        <x:v>CASE-012</x:v>
      </x:c>
      <x:c r="B53" s="46" t="str">
        <x:v>S2</x:v>
      </x:c>
      <x:c r="C53" s="46" t="str">
        <x:v>ST2</x:v>
      </x:c>
      <x:c r="D53" s="46" t="str">
        <x:v>建立节点化装运通知</x:v>
      </x:c>
      <x:c r="E53" s="46" t="str">
        <x:v>存在转船或紧迫交期时。</x:v>
      </x:c>
      <x:c r="F53" s="46" t="str">
        <x:v>要求订舱、首程开航、转船和预计到港分别通知。</x:v>
      </x:c>
      <x:c r="G53" s="46" t="str">
        <x:v>Please update us upon booking, departure and transshipment connection.</x:v>
      </x:c>
      <x:c r="H53" s="46" t="str">
        <x:v>只等最终装运通知。</x:v>
      </x:c>
      <x:c r="I53" s="46" t="str">
        <x:v>提前发现并处理延误。</x:v>
      </x:c>
      <x:c r="J53" s="46" t="str">
        <x:v>否</x:v>
      </x:c>
      <x:c r="K53" s="50" t="str">
        <x:f>IF(AND(A53&lt;&gt;"",B53&lt;&gt;"",C53&lt;&gt;"",D53&lt;&gt;"",E53&lt;&gt;"",F53&lt;&gt;"",I53&lt;&gt;""),"完整","请补充")</x:f>
        <x:v>完整</x:v>
      </x:c>
    </x:row>
    <x:row r="54" ht="70" customHeight="1">
      <x:c r="A54" s="46" t="str">
        <x:v>CASE-013</x:v>
      </x:c>
      <x:c r="B54" s="46" t="str">
        <x:v>S1</x:v>
      </x:c>
      <x:c r="C54" s="46" t="str">
        <x:v>ST1</x:v>
      </x:c>
      <x:c r="D54" s="46" t="str">
        <x:v>倒推审核三类关键日期</x:v>
      </x:c>
      <x:c r="E54" s="46" t="str">
        <x:v>信用证含装运、交单和到期日期时。</x:v>
      </x:c>
      <x:c r="F54" s="46" t="str">
        <x:v>从制单和银行递交时间倒推最小可执行窗口。</x:v>
      </x:c>
      <x:c r="G54" s="46" t="str">
        <x:v>The presentation period should allow document preparation after shipment.</x:v>
      </x:c>
      <x:c r="H54" s="46" t="str">
        <x:v>逐字段孤立审核。</x:v>
      </x:c>
      <x:c r="I54" s="46" t="str">
        <x:v>降低迟交单和到期风险。</x:v>
      </x:c>
      <x:c r="J54" s="46" t="str">
        <x:v>是</x:v>
      </x:c>
      <x:c r="K54" s="50" t="str">
        <x:f>IF(AND(A54&lt;&gt;"",B54&lt;&gt;"",C54&lt;&gt;"",D54&lt;&gt;"",E54&lt;&gt;"",F54&lt;&gt;"",I54&lt;&gt;""),"完整","请补充")</x:f>
        <x:v>完整</x:v>
      </x:c>
    </x:row>
    <x:row r="55" ht="70" customHeight="1">
      <x:c r="A55" s="46" t="str">
        <x:v>CASE-013</x:v>
      </x:c>
      <x:c r="B55" s="46" t="str">
        <x:v>S1</x:v>
      </x:c>
      <x:c r="C55" s="46" t="str">
        <x:v>ST2</x:v>
      </x:c>
      <x:c r="D55" s="46" t="str">
        <x:v>把问题定位到字段和后果</x:v>
      </x:c>
      <x:c r="E55" s="46" t="str">
        <x:v>发现日期或文本冲突时。</x:v>
      </x:c>
      <x:c r="F55" s="46" t="str">
        <x:v>记录原文、合同依据、业务后果和建议替换文本。</x:v>
      </x:c>
      <x:c r="G55" s="46" t="str">
        <x:v>Field 44C conflicts with the agreed shipment schedule; please amend it to ...</x:v>
      </x:c>
      <x:c r="H55" s="46" t="str">
        <x:v>只写 unacceptable。</x:v>
      </x:c>
      <x:c r="I55" s="46" t="str">
        <x:v>提高改证沟通可执行性。</x:v>
      </x:c>
      <x:c r="J55" s="46" t="str">
        <x:v>否</x:v>
      </x:c>
      <x:c r="K55" s="50" t="str">
        <x:f>IF(AND(A55&lt;&gt;"",B55&lt;&gt;"",C55&lt;&gt;"",D55&lt;&gt;"",E55&lt;&gt;"",F55&lt;&gt;"",I55&lt;&gt;""),"完整","请补充")</x:f>
        <x:v>完整</x:v>
      </x:c>
    </x:row>
    <x:row r="56" ht="70" customHeight="1">
      <x:c r="A56" s="46" t="str">
        <x:v>CASE-013</x:v>
      </x:c>
      <x:c r="B56" s="46" t="str">
        <x:v>S2</x:v>
      </x:c>
      <x:c r="C56" s="46" t="str">
        <x:v>ST1</x:v>
      </x:c>
      <x:c r="D56" s="46" t="str">
        <x:v>区分必要、可协商与不合理改证</x:v>
      </x:c>
      <x:c r="E56" s="46" t="str">
        <x:v>卖方一次提出多项修改时。</x:v>
      </x:c>
      <x:c r="F56" s="46" t="str">
        <x:v>逐项接受、附条件接受或拒绝并说明理由。</x:v>
      </x:c>
      <x:c r="G56" s="46" t="str">
        <x:v>We accept items 1 and 2; item 3 exceeds the contract and cannot be accepted.</x:v>
      </x:c>
      <x:c r="H56" s="46" t="str">
        <x:v>一揽子全盘接受或拒绝。</x:v>
      </x:c>
      <x:c r="I56" s="46" t="str">
        <x:v>兼顾履约可行性与风险边界。</x:v>
      </x:c>
      <x:c r="J56" s="46" t="str">
        <x:v>是</x:v>
      </x:c>
      <x:c r="K56" s="50" t="str">
        <x:f>IF(AND(A56&lt;&gt;"",B56&lt;&gt;"",C56&lt;&gt;"",D56&lt;&gt;"",E56&lt;&gt;"",F56&lt;&gt;"",I56&lt;&gt;""),"完整","请补充")</x:f>
        <x:v>完整</x:v>
      </x:c>
    </x:row>
    <x:row r="57" ht="70" customHeight="1">
      <x:c r="A57" s="46" t="str">
        <x:v>CASE-013</x:v>
      </x:c>
      <x:c r="B57" s="46" t="str">
        <x:v>S2</x:v>
      </x:c>
      <x:c r="C57" s="46" t="str">
        <x:v>ST2</x:v>
      </x:c>
      <x:c r="D57" s="46" t="str">
        <x:v>集中一次性发出改证清单</x:v>
      </x:c>
      <x:c r="E57" s="46" t="str">
        <x:v>双方已确认最终修改方案时。</x:v>
      </x:c>
      <x:c r="F57" s="46" t="str">
        <x:v>用编号清单交银行并复核 amendment message。</x:v>
      </x:c>
      <x:c r="G57" s="46" t="str">
        <x:v>Please issue one amendment covering the following confirmed changes.</x:v>
      </x:c>
      <x:c r="H57" s="46" t="str">
        <x:v>多次碎片化改证。</x:v>
      </x:c>
      <x:c r="I57" s="46" t="str">
        <x:v>减少费用、版本混乱和遗漏。</x:v>
      </x:c>
      <x:c r="J57" s="46" t="str">
        <x:v>否</x:v>
      </x:c>
      <x:c r="K57" s="50" t="str">
        <x:f>IF(AND(A57&lt;&gt;"",B57&lt;&gt;"",C57&lt;&gt;"",D57&lt;&gt;"",E57&lt;&gt;"",F57&lt;&gt;"",I57&lt;&gt;""),"完整","请补充")</x:f>
        <x:v>完整</x:v>
      </x:c>
    </x:row>
    <x:row r="58" ht="70" customHeight="1">
      <x:c r="A58" s="46" t="str">
        <x:v>CASE-014</x:v>
      </x:c>
      <x:c r="B58" s="46" t="str">
        <x:v>S1</x:v>
      </x:c>
      <x:c r="C58" s="46" t="str">
        <x:v>ST1</x:v>
      </x:c>
      <x:c r="D58" s="46" t="str">
        <x:v>按字段核对装运通知</x:v>
      </x:c>
      <x:c r="E58" s="46" t="str">
        <x:v>收到装运后首份通知时。</x:v>
      </x:c>
      <x:c r="F58" s="46" t="str">
        <x:v>检查合同号、货物、数量、船名、提单、日期和预计到港。</x:v>
      </x:c>
      <x:c r="G58" s="46" t="str">
        <x:v>Please confirm the B/L number, vessel, sailing date and ETA Shanghai.</x:v>
      </x:c>
      <x:c r="H58" s="46" t="str">
        <x:v>只回复 Thanks。</x:v>
      </x:c>
      <x:c r="I58" s="46" t="str">
        <x:v>为保险、清关和接货提供完整信息。</x:v>
      </x:c>
      <x:c r="J58" s="46" t="str">
        <x:v>是</x:v>
      </x:c>
      <x:c r="K58" s="50" t="str">
        <x:f>IF(AND(A58&lt;&gt;"",B58&lt;&gt;"",C58&lt;&gt;"",D58&lt;&gt;"",E58&lt;&gt;"",F58&lt;&gt;"",I58&lt;&gt;""),"完整","请补充")</x:f>
        <x:v>完整</x:v>
      </x:c>
    </x:row>
    <x:row r="59" ht="70" customHeight="1">
      <x:c r="A59" s="46" t="str">
        <x:v>CASE-014</x:v>
      </x:c>
      <x:c r="B59" s="46" t="str">
        <x:v>S1</x:v>
      </x:c>
      <x:c r="C59" s="46" t="str">
        <x:v>ST2</x:v>
      </x:c>
      <x:c r="D59" s="46" t="str">
        <x:v>建立到港前协同清单</x:v>
      </x:c>
      <x:c r="E59" s="46" t="str">
        <x:v>已知 ETA 且需多部门准备时。</x:v>
      </x:c>
      <x:c r="F59" s="46" t="str">
        <x:v>分配取单、报关、仓储和现场验收责任。</x:v>
      </x:c>
      <x:c r="G59" s="46" t="str">
        <x:v>We have arranged customs clearance and warehouse receiving based on the advised ETA.</x:v>
      </x:c>
      <x:c r="H59" s="46" t="str">
        <x:v>等船到港后再开始。</x:v>
      </x:c>
      <x:c r="I59" s="46" t="str">
        <x:v>减少到港操作延误。</x:v>
      </x:c>
      <x:c r="J59" s="46" t="str">
        <x:v>否</x:v>
      </x:c>
      <x:c r="K59" s="50" t="str">
        <x:f>IF(AND(A59&lt;&gt;"",B59&lt;&gt;"",C59&lt;&gt;"",D59&lt;&gt;"",E59&lt;&gt;"",F59&lt;&gt;"",I59&lt;&gt;""),"完整","请补充")</x:f>
        <x:v>完整</x:v>
      </x:c>
    </x:row>
    <x:row r="60" ht="70" customHeight="1">
      <x:c r="A60" s="46" t="str">
        <x:v>CASE-014</x:v>
      </x:c>
      <x:c r="B60" s="46" t="str">
        <x:v>S2</x:v>
      </x:c>
      <x:c r="C60" s="46" t="str">
        <x:v>ST1</x:v>
      </x:c>
      <x:c r="D60" s="46" t="str">
        <x:v>区分单据付款与货物争议</x:v>
      </x:c>
      <x:c r="E60" s="46" t="str">
        <x:v>单据相符但对货物质量仍有担忧时。</x:v>
      </x:c>
      <x:c r="F60" s="46" t="str">
        <x:v>按 L/C 规则处理付款，同时保留合同项下检验索赔权。</x:v>
      </x:c>
      <x:c r="G60" s="46" t="str">
        <x:v>Payment under the compliant presentation is separate from any later quality claim.</x:v>
      </x:c>
      <x:c r="H60" s="46" t="str">
        <x:v>把质量猜测当作拒付依据。</x:v>
      </x:c>
      <x:c r="I60" s="46" t="str">
        <x:v>维护银行信用并保留实体权利。</x:v>
      </x:c>
      <x:c r="J60" s="46" t="str">
        <x:v>是</x:v>
      </x:c>
      <x:c r="K60" s="50" t="str">
        <x:f>IF(AND(A60&lt;&gt;"",B60&lt;&gt;"",C60&lt;&gt;"",D60&lt;&gt;"",E60&lt;&gt;"",F60&lt;&gt;"",I60&lt;&gt;""),"完整","请补充")</x:f>
        <x:v>完整</x:v>
      </x:c>
    </x:row>
    <x:row r="61" ht="70" customHeight="1">
      <x:c r="A61" s="46" t="str">
        <x:v>CASE-014</x:v>
      </x:c>
      <x:c r="B61" s="46" t="str">
        <x:v>S2</x:v>
      </x:c>
      <x:c r="C61" s="46" t="str">
        <x:v>ST2</x:v>
      </x:c>
      <x:c r="D61" s="46" t="str">
        <x:v>对真实不符点及时决策</x:v>
      </x:c>
      <x:c r="E61" s="46" t="str">
        <x:v>银行发现单据偏差时。</x:v>
      </x:c>
      <x:c r="F61" s="46" t="str">
        <x:v>评估风险后决定接受、拒绝或要求更正，并记录授权。</x:v>
      </x:c>
      <x:c r="G61" s="46" t="str">
        <x:v>Please provide the discrepancy notice and hold documents pending our decision.</x:v>
      </x:c>
      <x:c r="H61" s="46" t="str">
        <x:v>口头随意放弃不符点。</x:v>
      </x:c>
      <x:c r="I61" s="46" t="str">
        <x:v>控制付款与提货风险。</x:v>
      </x:c>
      <x:c r="J61" s="46" t="str">
        <x:v>否</x:v>
      </x:c>
      <x:c r="K61" s="50" t="str">
        <x:f>IF(AND(A61&lt;&gt;"",B61&lt;&gt;"",C61&lt;&gt;"",D61&lt;&gt;"",E61&lt;&gt;"",F61&lt;&gt;"",I61&lt;&gt;""),"完整","请补充")</x:f>
        <x:v>完整</x:v>
      </x:c>
    </x:row>
    <x:row r="62" ht="70" customHeight="1">
      <x:c r="A62" s="46" t="str">
        <x:v>CASE-015</x:v>
      </x:c>
      <x:c r="B62" s="46" t="str">
        <x:v>S1</x:v>
      </x:c>
      <x:c r="C62" s="46" t="str">
        <x:v>ST1</x:v>
      </x:c>
      <x:c r="D62" s="46" t="str">
        <x:v>区分装港检验与到货复验功能</x:v>
      </x:c>
      <x:c r="E62" s="46" t="str">
        <x:v>双方争论哪次检验最终时。</x:v>
      </x:c>
      <x:c r="F62" s="46" t="str">
        <x:v>分别说明装运符合性和隐蔽缺陷救济的适用范围。</x:v>
      </x:c>
      <x:c r="G62" s="46" t="str">
        <x:v>Pre-shipment inspection confirms dispatch quality, while arrival reinspection covers latent defects.</x:v>
      </x:c>
      <x:c r="H62" s="46" t="str">
        <x:v>把所有损失都留给到货检验。</x:v>
      </x:c>
      <x:c r="I62" s="46" t="str">
        <x:v>建立可协商的风险分工。</x:v>
      </x:c>
      <x:c r="J62" s="46" t="str">
        <x:v>是</x:v>
      </x:c>
      <x:c r="K62" s="50" t="str">
        <x:f>IF(AND(A62&lt;&gt;"",B62&lt;&gt;"",C62&lt;&gt;"",D62&lt;&gt;"",E62&lt;&gt;"",F62&lt;&gt;"",I62&lt;&gt;""),"完整","请补充")</x:f>
        <x:v>完整</x:v>
      </x:c>
    </x:row>
    <x:row r="63" ht="70" customHeight="1">
      <x:c r="A63" s="46" t="str">
        <x:v>CASE-015</x:v>
      </x:c>
      <x:c r="B63" s="46" t="str">
        <x:v>S1</x:v>
      </x:c>
      <x:c r="C63" s="46" t="str">
        <x:v>ST2</x:v>
      </x:c>
      <x:c r="D63" s="46" t="str">
        <x:v>选择双方认可的独立机构</x:v>
      </x:c>
      <x:c r="E63" s="46" t="str">
        <x:v>证据中立性影响索赔时。</x:v>
      </x:c>
      <x:c r="F63" s="46" t="str">
        <x:v>约定 CCIC、SGS 或其他认可机构及证书效力。</x:v>
      </x:c>
      <x:c r="G63" s="46" t="str">
        <x:v>Inspection shall be conducted by an agreed independent surveyor.</x:v>
      </x:c>
      <x:c r="H63" s="46" t="str">
        <x:v>由单方员工自行认定最终责任。</x:v>
      </x:c>
      <x:c r="I63" s="46" t="str">
        <x:v>提升证据可信度。</x:v>
      </x:c>
      <x:c r="J63" s="46" t="str">
        <x:v>否</x:v>
      </x:c>
      <x:c r="K63" s="50" t="str">
        <x:f>IF(AND(A63&lt;&gt;"",B63&lt;&gt;"",C63&lt;&gt;"",D63&lt;&gt;"",E63&lt;&gt;"",F63&lt;&gt;"",I63&lt;&gt;""),"完整","请补充")</x:f>
        <x:v>完整</x:v>
      </x:c>
    </x:row>
    <x:row r="64" ht="70" customHeight="1">
      <x:c r="A64" s="46" t="str">
        <x:v>CASE-015</x:v>
      </x:c>
      <x:c r="B64" s="46" t="str">
        <x:v>S2</x:v>
      </x:c>
      <x:c r="C64" s="46" t="str">
        <x:v>ST1</x:v>
      </x:c>
      <x:c r="D64" s="46" t="str">
        <x:v>限定复验范围与时限</x:v>
      </x:c>
      <x:c r="E64" s="46" t="str">
        <x:v>卖方担忧无限责任时。</x:v>
      </x:c>
      <x:c r="F64" s="46" t="str">
        <x:v>规定到货后天数、抽样标准、缺陷类型和通知要求。</x:v>
      </x:c>
      <x:c r="G64" s="46" t="str">
        <x:v>Reinspection claims must be notified within 30 days of arrival with supporting evidence.</x:v>
      </x:c>
      <x:c r="H64" s="46" t="str">
        <x:v>写 reasonable time 而无具体标准。</x:v>
      </x:c>
      <x:c r="I64" s="46" t="str">
        <x:v>兼顾救济与责任确定性。</x:v>
      </x:c>
      <x:c r="J64" s="46" t="str">
        <x:v>是</x:v>
      </x:c>
      <x:c r="K64" s="50" t="str">
        <x:f>IF(AND(A64&lt;&gt;"",B64&lt;&gt;"",C64&lt;&gt;"",D64&lt;&gt;"",E64&lt;&gt;"",F64&lt;&gt;"",I64&lt;&gt;""),"完整","请补充")</x:f>
        <x:v>完整</x:v>
      </x:c>
    </x:row>
    <x:row r="65" ht="70" customHeight="1">
      <x:c r="A65" s="46" t="str">
        <x:v>CASE-015</x:v>
      </x:c>
      <x:c r="B65" s="46" t="str">
        <x:v>S2</x:v>
      </x:c>
      <x:c r="C65" s="46" t="str">
        <x:v>ST2</x:v>
      </x:c>
      <x:c r="D65" s="46" t="str">
        <x:v>设计联合取样和证据保全</x:v>
      </x:c>
      <x:c r="E65" s="46" t="str">
        <x:v>双方可能争议抽样代表性时。</x:v>
      </x:c>
      <x:c r="F65" s="46" t="str">
        <x:v>约定通知、见证、封样和复检程序。</x:v>
      </x:c>
      <x:c r="G65" s="46" t="str">
        <x:v>Both parties may witness sampling, and retained samples shall be sealed.</x:v>
      </x:c>
      <x:c r="H65" s="46" t="str">
        <x:v>发现问题后单方销毁样品。</x:v>
      </x:c>
      <x:c r="I65" s="46" t="str">
        <x:v>为后续责任判断保留可靠证据。</x:v>
      </x:c>
      <x:c r="J65" s="46" t="str">
        <x:v>否</x:v>
      </x:c>
      <x:c r="K65" s="50" t="str">
        <x:f>IF(AND(A65&lt;&gt;"",B65&lt;&gt;"",C65&lt;&gt;"",D65&lt;&gt;"",E65&lt;&gt;"",F65&lt;&gt;"",I65&lt;&gt;""),"完整","请补充")</x:f>
        <x:v>完整</x:v>
      </x:c>
    </x:row>
    <x:row r="66" ht="70" customHeight="1">
      <x:c r="A66" s="46" t="str">
        <x:v>CASE-016</x:v>
      </x:c>
      <x:c r="B66" s="46" t="str">
        <x:v>S1</x:v>
      </x:c>
      <x:c r="C66" s="46" t="str">
        <x:v>ST1</x:v>
      </x:c>
      <x:c r="D66" s="46" t="str">
        <x:v>从货物和航线建立风险清单</x:v>
      </x:c>
      <x:c r="E66" s="46" t="str">
        <x:v>选择险别前。</x:v>
      </x:c>
      <x:c r="F66" s="46" t="str">
        <x:v>识别受潮、碰撞、盗窃、中转和延误等风险及可保性。</x:v>
      </x:c>
      <x:c r="G66" s="46" t="str">
        <x:v>Our main concerns are moisture, handling damage and transshipment exposure.</x:v>
      </x:c>
      <x:c r="H66" s="46" t="str">
        <x:v>只说 ICC(A) is better。</x:v>
      </x:c>
      <x:c r="I66" s="46" t="str">
        <x:v>让险别选择有实际依据。</x:v>
      </x:c>
      <x:c r="J66" s="46" t="str">
        <x:v>是</x:v>
      </x:c>
      <x:c r="K66" s="50" t="str">
        <x:f>IF(AND(A66&lt;&gt;"",B66&lt;&gt;"",C66&lt;&gt;"",D66&lt;&gt;"",E66&lt;&gt;"",F66&lt;&gt;"",I66&lt;&gt;""),"完整","请补充")</x:f>
        <x:v>完整</x:v>
      </x:c>
    </x:row>
    <x:row r="67" ht="70" customHeight="1">
      <x:c r="A67" s="46" t="str">
        <x:v>CASE-016</x:v>
      </x:c>
      <x:c r="B67" s="46" t="str">
        <x:v>S1</x:v>
      </x:c>
      <x:c r="C67" s="46" t="str">
        <x:v>ST2</x:v>
      </x:c>
      <x:c r="D67" s="46" t="str">
        <x:v>对照险别覆盖与除外</x:v>
      </x:c>
      <x:c r="E67" s="46" t="str">
        <x:v>双方对 ICC(A/B/C) 差异理解不一时。</x:v>
      </x:c>
      <x:c r="F67" s="46" t="str">
        <x:v>逐项匹配核心风险、承保危险和除外责任。</x:v>
      </x:c>
      <x:c r="G67" s="46" t="str">
        <x:v>Please confirm whether the proposed cover includes water damage during transit.</x:v>
      </x:c>
      <x:c r="H67" s="46" t="str">
        <x:v>把 all risks 理解为所有风险。</x:v>
      </x:c>
      <x:c r="I67" s="46" t="str">
        <x:v>减少保险预期误差。</x:v>
      </x:c>
      <x:c r="J67" s="46" t="str">
        <x:v>否</x:v>
      </x:c>
      <x:c r="K67" s="50" t="str">
        <x:f>IF(AND(A67&lt;&gt;"",B67&lt;&gt;"",C67&lt;&gt;"",D67&lt;&gt;"",E67&lt;&gt;"",F67&lt;&gt;"",I67&lt;&gt;""),"完整","请补充")</x:f>
        <x:v>完整</x:v>
      </x:c>
    </x:row>
    <x:row r="68" ht="70" customHeight="1">
      <x:c r="A68" s="46" t="str">
        <x:v>CASE-016</x:v>
      </x:c>
      <x:c r="B68" s="46" t="str">
        <x:v>S2</x:v>
      </x:c>
      <x:c r="C68" s="46" t="str">
        <x:v>ST1</x:v>
      </x:c>
      <x:c r="D68" s="46" t="str">
        <x:v>用增量保费进行条件交换</x:v>
      </x:c>
      <x:c r="E68" s="46" t="str">
        <x:v>更高保障可由卖方代办但增加成本时。</x:v>
      </x:c>
      <x:c r="F68" s="46" t="str">
        <x:v>获取差额并协商买方承担、分担或纳入价格。</x:v>
      </x:c>
      <x:c r="G68" s="46" t="str">
        <x:v>We can bear the incremental premium if you arrange ICC(A) cover.</x:v>
      </x:c>
      <x:c r="H68" s="46" t="str">
        <x:v>要求升级却拒绝讨论成本。</x:v>
      </x:c>
      <x:c r="I68" s="46" t="str">
        <x:v>快速解决保障与价格分歧。</x:v>
      </x:c>
      <x:c r="J68" s="46" t="str">
        <x:v>是</x:v>
      </x:c>
      <x:c r="K68" s="50" t="str">
        <x:f>IF(AND(A68&lt;&gt;"",B68&lt;&gt;"",C68&lt;&gt;"",D68&lt;&gt;"",E68&lt;&gt;"",F68&lt;&gt;"",I68&lt;&gt;""),"完整","请补充")</x:f>
        <x:v>完整</x:v>
      </x:c>
    </x:row>
    <x:row r="69" ht="70" customHeight="1">
      <x:c r="A69" s="46" t="str">
        <x:v>CASE-016</x:v>
      </x:c>
      <x:c r="B69" s="46" t="str">
        <x:v>S2</x:v>
      </x:c>
      <x:c r="C69" s="46" t="str">
        <x:v>ST2</x:v>
      </x:c>
      <x:c r="D69" s="46" t="str">
        <x:v>明确保额和保单信息</x:v>
      </x:c>
      <x:c r="E69" s="46" t="str">
        <x:v>险别达成一致准备写入条款时。</x:v>
      </x:c>
      <x:c r="F69" s="46" t="str">
        <x:v>写明投保金额比例、币种、险别、起讫和索赔地点。</x:v>
      </x:c>
      <x:c r="G69" s="46" t="str">
        <x:v>Insurance shall be for 110% of invoice value in the contract currency.</x:v>
      </x:c>
      <x:c r="H69" s="46" t="str">
        <x:v>只写 insurance included。</x:v>
      </x:c>
      <x:c r="I69" s="46" t="str">
        <x:v>确保保单可用于实际索赔。</x:v>
      </x:c>
      <x:c r="J69" s="46" t="str">
        <x:v>否</x:v>
      </x:c>
      <x:c r="K69" s="50" t="str">
        <x:f>IF(AND(A69&lt;&gt;"",B69&lt;&gt;"",C69&lt;&gt;"",D69&lt;&gt;"",E69&lt;&gt;"",F69&lt;&gt;"",I69&lt;&gt;""),"完整","请补充")</x:f>
        <x:v>完整</x:v>
      </x:c>
    </x:row>
    <x:row r="70" ht="70" customHeight="1">
      <x:c r="A70" s="46" t="str">
        <x:v>CASE-017</x:v>
      </x:c>
      <x:c r="B70" s="46" t="str">
        <x:v>S1</x:v>
      </x:c>
      <x:c r="C70" s="46" t="str">
        <x:v>ST1</x:v>
      </x:c>
      <x:c r="D70" s="46" t="str">
        <x:v>使用仲裁条款完整性清单</x:v>
      </x:c>
      <x:c r="E70" s="46" t="str">
        <x:v>审查草案是否可执行时。</x:v>
      </x:c>
      <x:c r="F70" s="46" t="str">
        <x:v>核对唯一机构、仲裁地、规则、语言、人数和终局效力。</x:v>
      </x:c>
      <x:c r="G70" s="46" t="str">
        <x:v>Any dispute shall be finally resolved by arbitration administered by ...</x:v>
      </x:c>
      <x:c r="H70" s="46" t="str">
        <x:v>复制只有 arbitration in China 的短句。</x:v>
      </x:c>
      <x:c r="I70" s="46" t="str">
        <x:v>降低条款无效和程序争议。</x:v>
      </x:c>
      <x:c r="J70" s="46" t="str">
        <x:v>是</x:v>
      </x:c>
      <x:c r="K70" s="50" t="str">
        <x:f>IF(AND(A70&lt;&gt;"",B70&lt;&gt;"",C70&lt;&gt;"",D70&lt;&gt;"",E70&lt;&gt;"",F70&lt;&gt;"",I70&lt;&gt;""),"完整","请补充")</x:f>
        <x:v>完整</x:v>
      </x:c>
    </x:row>
    <x:row r="71" ht="70" customHeight="1">
      <x:c r="A71" s="46" t="str">
        <x:v>CASE-017</x:v>
      </x:c>
      <x:c r="B71" s="46" t="str">
        <x:v>S1</x:v>
      </x:c>
      <x:c r="C71" s="46" t="str">
        <x:v>ST2</x:v>
      </x:c>
      <x:c r="D71" s="46" t="str">
        <x:v>删除或裁或审并设单一路径</x:v>
      </x:c>
      <x:c r="E71" s="46" t="str">
        <x:v>草案同时保留法院与仲裁时。</x:v>
      </x:c>
      <x:c r="F71" s="46" t="str">
        <x:v>明确仲裁为约定争议的终局方式，必要时单列保全例外。</x:v>
      </x:c>
      <x:c r="G71" s="46" t="str">
        <x:v>The award shall be final and binding on both parties.</x:v>
      </x:c>
      <x:c r="H71" s="46" t="str">
        <x:v>保留任意一方可选法院。</x:v>
      </x:c>
      <x:c r="I71" s="46" t="str">
        <x:v>提高争议解决确定性。</x:v>
      </x:c>
      <x:c r="J71" s="46" t="str">
        <x:v>否</x:v>
      </x:c>
      <x:c r="K71" s="50" t="str">
        <x:f>IF(AND(A71&lt;&gt;"",B71&lt;&gt;"",C71&lt;&gt;"",D71&lt;&gt;"",E71&lt;&gt;"",F71&lt;&gt;"",I71&lt;&gt;""),"完整","请补充")</x:f>
        <x:v>完整</x:v>
      </x:c>
    </x:row>
    <x:row r="72" ht="70" customHeight="1">
      <x:c r="A72" s="46" t="str">
        <x:v>CASE-017</x:v>
      </x:c>
      <x:c r="B72" s="46" t="str">
        <x:v>S2</x:v>
      </x:c>
      <x:c r="C72" s="46" t="str">
        <x:v>ST1</x:v>
      </x:c>
      <x:c r="D72" s="46" t="str">
        <x:v>用中立性与执行成本比较方案</x:v>
      </x:c>
      <x:c r="E72" s="46" t="str">
        <x:v>双方各自主张本国机构时。</x:v>
      </x:c>
      <x:c r="F72" s="46" t="str">
        <x:v>比较 SIAC、HKIAC、CIETAC 的地点、语言和执行便利。</x:v>
      </x:c>
      <x:c r="G72" s="46" t="str">
        <x:v>We propose Hong Kong as a neutral seat with proceedings in English.</x:v>
      </x:c>
      <x:c r="H72" s="46" t="str">
        <x:v>把中立简单等同于第三国名称。</x:v>
      </x:c>
      <x:c r="I72" s="46" t="str">
        <x:v>把立场争议转为可比较标准。</x:v>
      </x:c>
      <x:c r="J72" s="46" t="str">
        <x:v>是</x:v>
      </x:c>
      <x:c r="K72" s="50" t="str">
        <x:f>IF(AND(A72&lt;&gt;"",B72&lt;&gt;"",C72&lt;&gt;"",D72&lt;&gt;"",E72&lt;&gt;"",F72&lt;&gt;"",I72&lt;&gt;""),"完整","请补充")</x:f>
        <x:v>完整</x:v>
      </x:c>
    </x:row>
    <x:row r="73" ht="70" customHeight="1">
      <x:c r="A73" s="46" t="str">
        <x:v>CASE-017</x:v>
      </x:c>
      <x:c r="B73" s="46" t="str">
        <x:v>S2</x:v>
      </x:c>
      <x:c r="C73" s="46" t="str">
        <x:v>ST2</x:v>
      </x:c>
      <x:c r="D73" s="46" t="str">
        <x:v>区分仲裁机构与仲裁地</x:v>
      </x:c>
      <x:c r="E73" s="46" t="str">
        <x:v>对方混淆 administered by 与 seat 时。</x:v>
      </x:c>
      <x:c r="F73" s="46" t="str">
        <x:v>分别确认管理机构和法律仲裁地。</x:v>
      </x:c>
      <x:c r="G73" s="46" t="str">
        <x:v>The arbitration shall be administered by SIAC, with Singapore as the seat.</x:v>
      </x:c>
      <x:c r="H73" s="46" t="str">
        <x:v>只写 at SIAC。</x:v>
      </x:c>
      <x:c r="I73" s="46" t="str">
        <x:v>明确程序法与管理服务。</x:v>
      </x:c>
      <x:c r="J73" s="46" t="str">
        <x:v>否</x:v>
      </x:c>
      <x:c r="K73" s="50" t="str">
        <x:f>IF(AND(A73&lt;&gt;"",B73&lt;&gt;"",C73&lt;&gt;"",D73&lt;&gt;"",E73&lt;&gt;"",F73&lt;&gt;"",I73&lt;&gt;""),"完整","请补充")</x:f>
        <x:v>完整</x:v>
      </x:c>
    </x:row>
    <x:row r="74" ht="70" customHeight="1">
      <x:c r="A74" s="46" t="str">
        <x:v>CASE-018</x:v>
      </x:c>
      <x:c r="B74" s="46" t="str">
        <x:v>S1</x:v>
      </x:c>
      <x:c r="C74" s="46" t="str">
        <x:v>ST1</x:v>
      </x:c>
      <x:c r="D74" s="46" t="str">
        <x:v>按成因建立损失责任矩阵</x:v>
      </x:c>
      <x:c r="E74" s="46" t="str">
        <x:v>存在多类损失和多个责任渠道时。</x:v>
      </x:c>
      <x:c r="F74" s="46" t="str">
        <x:v>逐项列明现象、数量、证据、成因和主张对象。</x:v>
      </x:c>
      <x:c r="G74" s="46" t="str">
        <x:v>We distinguish the manufacturing defects from the insured water damage.</x:v>
      </x:c>
      <x:c r="H74" s="46" t="str">
        <x:v>把全部损失笼统归责卖方。</x:v>
      </x:c>
      <x:c r="I74" s="46" t="str">
        <x:v>提高归责准确性并避免重复索赔。</x:v>
      </x:c>
      <x:c r="J74" s="46" t="str">
        <x:v>是</x:v>
      </x:c>
      <x:c r="K74" s="50" t="str">
        <x:f>IF(AND(A74&lt;&gt;"",B74&lt;&gt;"",C74&lt;&gt;"",D74&lt;&gt;"",E74&lt;&gt;"",F74&lt;&gt;"",I74&lt;&gt;""),"完整","请补充")</x:f>
        <x:v>完整</x:v>
      </x:c>
    </x:row>
    <x:row r="75" ht="70" customHeight="1">
      <x:c r="A75" s="46" t="str">
        <x:v>CASE-018</x:v>
      </x:c>
      <x:c r="B75" s="46" t="str">
        <x:v>S1</x:v>
      </x:c>
      <x:c r="C75" s="46" t="str">
        <x:v>ST2</x:v>
      </x:c>
      <x:c r="D75" s="46" t="str">
        <x:v>保全现场和第三方证据</x:v>
      </x:c>
      <x:c r="E75" s="46" t="str">
        <x:v>发现到货异常准备索赔时。</x:v>
      </x:c>
      <x:c r="F75" s="46" t="str">
        <x:v>及时拍照、封样、通知并委托约定机构检验。</x:v>
      </x:c>
      <x:c r="G75" s="46" t="str">
        <x:v>CCIC Certificate No. ___ records the affected units and findings.</x:v>
      </x:c>
      <x:c r="H75" s="46" t="str">
        <x:v>先返工或销毁再取证。</x:v>
      </x:c>
      <x:c r="I75" s="46" t="str">
        <x:v>保留可复核的事实基础。</x:v>
      </x:c>
      <x:c r="J75" s="46" t="str">
        <x:v>否</x:v>
      </x:c>
      <x:c r="K75" s="50" t="str">
        <x:f>IF(AND(A75&lt;&gt;"",B75&lt;&gt;"",C75&lt;&gt;"",D75&lt;&gt;"",E75&lt;&gt;"",F75&lt;&gt;"",I75&lt;&gt;""),"完整","请补充")</x:f>
        <x:v>完整</x:v>
      </x:c>
    </x:row>
    <x:row r="76" ht="70" customHeight="1">
      <x:c r="A76" s="46" t="str">
        <x:v>CASE-018</x:v>
      </x:c>
      <x:c r="B76" s="46" t="str">
        <x:v>S2</x:v>
      </x:c>
      <x:c r="C76" s="46" t="str">
        <x:v>ST1</x:v>
      </x:c>
      <x:c r="D76" s="46" t="str">
        <x:v>用六段式组织正式索赔函</x:v>
      </x:c>
      <x:c r="E76" s="46" t="str">
        <x:v>证据和合同依据已齐全时。</x:v>
      </x:c>
      <x:c r="F76" s="46" t="str">
        <x:v>依次写事实、证据、条款、损失、诉求、期限。</x:v>
      </x:c>
      <x:c r="G76" s="46" t="str">
        <x:v>We claim USD ___ supported by the attached inspection certificate and calculation.</x:v>
      </x:c>
      <x:c r="H76" s="46" t="str">
        <x:v>只表达愤怒和失望。</x:v>
      </x:c>
      <x:c r="I76" s="46" t="str">
        <x:v>使对方能够逐项核验和决策。</x:v>
      </x:c>
      <x:c r="J76" s="46" t="str">
        <x:v>是</x:v>
      </x:c>
      <x:c r="K76" s="50" t="str">
        <x:f>IF(AND(A76&lt;&gt;"",B76&lt;&gt;"",C76&lt;&gt;"",D76&lt;&gt;"",E76&lt;&gt;"",F76&lt;&gt;"",I76&lt;&gt;""),"完整","请补充")</x:f>
        <x:v>完整</x:v>
      </x:c>
    </x:row>
    <x:row r="77" ht="70" customHeight="1">
      <x:c r="A77" s="46" t="str">
        <x:v>CASE-018</x:v>
      </x:c>
      <x:c r="B77" s="46" t="str">
        <x:v>S2</x:v>
      </x:c>
      <x:c r="C77" s="46" t="str">
        <x:v>ST2</x:v>
      </x:c>
      <x:c r="D77" s="46" t="str">
        <x:v>提出比例适当的补救方案</x:v>
      </x:c>
      <x:c r="E77" s="46" t="str">
        <x:v>损失可通过换货、折价或退款弥补时。</x:v>
      </x:c>
      <x:c r="F77" s="46" t="str">
        <x:v>根据缺陷范围提出维修、换货、退款或费用承担。</x:v>
      </x:c>
      <x:c r="G77" s="46" t="str">
        <x:v>Please replace the 48 defective units or issue an equivalent credit note.</x:v>
      </x:c>
      <x:c r="H77" s="46" t="str">
        <x:v>要求与损失不相称的惩罚。</x:v>
      </x:c>
      <x:c r="I77" s="46" t="str">
        <x:v>提高和解可接受性。</x:v>
      </x:c>
      <x:c r="J77" s="46" t="str">
        <x:v>否</x:v>
      </x:c>
      <x:c r="K77" s="50" t="str">
        <x:f>IF(AND(A77&lt;&gt;"",B77&lt;&gt;"",C77&lt;&gt;"",D77&lt;&gt;"",E77&lt;&gt;"",F77&lt;&gt;"",I77&lt;&gt;""),"完整","请补充")</x:f>
        <x:v>完整</x:v>
      </x:c>
    </x:row>
    <x:row r="78" ht="70" customHeight="1">
      <x:c r="A78" s="46" t="str">
        <x:v>CASE-019</x:v>
      </x:c>
      <x:c r="B78" s="46" t="str">
        <x:v>S1</x:v>
      </x:c>
      <x:c r="C78" s="46" t="str">
        <x:v>ST1</x:v>
      </x:c>
      <x:c r="D78" s="46" t="str">
        <x:v>把抗辩拆成可验证命题</x:v>
      </x:c>
      <x:c r="E78" s="46" t="str">
        <x:v>对方同时提出容差、运输和抽样多项理由时。</x:v>
      </x:c>
      <x:c r="F78" s="46" t="str">
        <x:v>逐项列出主张、适用条款、现有证据和待补证据。</x:v>
      </x:c>
      <x:c r="G78" s="46" t="str">
        <x:v>Your tolerance argument concerns quantity, whereas our claim concerns brightness specification.</x:v>
      </x:c>
      <x:c r="H78" s="46" t="str">
        <x:v>笼统回复 We disagree。</x:v>
      </x:c>
      <x:c r="I78" s="46" t="str">
        <x:v>防止议题混淆并聚焦争点。</x:v>
      </x:c>
      <x:c r="J78" s="46" t="str">
        <x:v>是</x:v>
      </x:c>
      <x:c r="K78" s="50" t="str">
        <x:f>IF(AND(A78&lt;&gt;"",B78&lt;&gt;"",C78&lt;&gt;"",D78&lt;&gt;"",E78&lt;&gt;"",F78&lt;&gt;"",I78&lt;&gt;""),"完整","请补充")</x:f>
        <x:v>完整</x:v>
      </x:c>
    </x:row>
    <x:row r="79" ht="70" customHeight="1">
      <x:c r="A79" s="46" t="str">
        <x:v>CASE-019</x:v>
      </x:c>
      <x:c r="B79" s="46" t="str">
        <x:v>S1</x:v>
      </x:c>
      <x:c r="C79" s="46" t="str">
        <x:v>ST2</x:v>
      </x:c>
      <x:c r="D79" s="46" t="str">
        <x:v>回到合同指标和计算基数</x:v>
      </x:c>
      <x:c r="E79" s="46" t="str">
        <x:v>对方援引容差时。</x:v>
      </x:c>
      <x:c r="F79" s="46" t="str">
        <x:v>核对容差适用指标、允许比例和实际超标数量。</x:v>
      </x:c>
      <x:c r="G79" s="46" t="str">
        <x:v>The contractual brightness minimum applies to every delivered module.</x:v>
      </x:c>
      <x:c r="H79" s="46" t="str">
        <x:v>只争论 2% 数字大小。</x:v>
      </x:c>
      <x:c r="I79" s="46" t="str">
        <x:v>用共同文本检验抗辩。</x:v>
      </x:c>
      <x:c r="J79" s="46" t="str">
        <x:v>否</x:v>
      </x:c>
      <x:c r="K79" s="50" t="str">
        <x:f>IF(AND(A79&lt;&gt;"",B79&lt;&gt;"",C79&lt;&gt;"",D79&lt;&gt;"",E79&lt;&gt;"",F79&lt;&gt;"",I79&lt;&gt;""),"完整","请补充")</x:f>
        <x:v>完整</x:v>
      </x:c>
    </x:row>
    <x:row r="80" ht="70" customHeight="1">
      <x:c r="A80" s="46" t="str">
        <x:v>CASE-019</x:v>
      </x:c>
      <x:c r="B80" s="46" t="str">
        <x:v>S2</x:v>
      </x:c>
      <x:c r="C80" s="46" t="str">
        <x:v>ST1</x:v>
      </x:c>
      <x:c r="D80" s="46" t="str">
        <x:v>说明证据来源与程序可靠性</x:v>
      </x:c>
      <x:c r="E80" s="46" t="str">
        <x:v>对方质疑检验证书时。</x:v>
      </x:c>
      <x:c r="F80" s="46" t="str">
        <x:v>引用机构资质、取样日期、方法、样本量和封样记录。</x:v>
      </x:c>
      <x:c r="G80" s="46" t="str">
        <x:v>The samples were randomly selected and sealed in the presence of both parties.</x:v>
      </x:c>
      <x:c r="H80" s="46" t="str">
        <x:v>只强调机构名气。</x:v>
      </x:c>
      <x:c r="I80" s="46" t="str">
        <x:v>提高证据证明力。</x:v>
      </x:c>
      <x:c r="J80" s="46" t="str">
        <x:v>是</x:v>
      </x:c>
      <x:c r="K80" s="50" t="str">
        <x:f>IF(AND(A80&lt;&gt;"",B80&lt;&gt;"",C80&lt;&gt;"",D80&lt;&gt;"",E80&lt;&gt;"",F80&lt;&gt;"",I80&lt;&gt;""),"完整","请补充")</x:f>
        <x:v>完整</x:v>
      </x:c>
    </x:row>
    <x:row r="81" ht="70" customHeight="1">
      <x:c r="A81" s="46" t="str">
        <x:v>CASE-019</x:v>
      </x:c>
      <x:c r="B81" s="46" t="str">
        <x:v>S2</x:v>
      </x:c>
      <x:c r="C81" s="46" t="str">
        <x:v>ST2</x:v>
      </x:c>
      <x:c r="D81" s="46" t="str">
        <x:v>提出联合复检作为程序性方案</x:v>
      </x:c>
      <x:c r="E81" s="46" t="str">
        <x:v>现有证据不足以消除合理争议时。</x:v>
      </x:c>
      <x:c r="F81" s="46" t="str">
        <x:v>约定独立机构、抽样方案、费用先行和最终承担。</x:v>
      </x:c>
      <x:c r="G81" s="46" t="str">
        <x:v>We propose a joint reinspection by SGS under the agreed sampling plan.</x:v>
      </x:c>
      <x:c r="H81" s="46" t="str">
        <x:v>在证据不足时继续升级指责。</x:v>
      </x:c>
      <x:c r="I81" s="46" t="str">
        <x:v>把事实争议转为可解决程序。</x:v>
      </x:c>
      <x:c r="J81" s="46" t="str">
        <x:v>否</x:v>
      </x:c>
      <x:c r="K81" s="50" t="str">
        <x:f>IF(AND(A81&lt;&gt;"",B81&lt;&gt;"",C81&lt;&gt;"",D81&lt;&gt;"",E81&lt;&gt;"",F81&lt;&gt;"",I81&lt;&gt;""),"完整","请补充")</x:f>
        <x:v>完整</x:v>
      </x:c>
    </x:row>
    <x:row r="82" ht="70" customHeight="1">
      <x:c r="A82" s="46" t="str">
        <x:v>CASE-020</x:v>
      </x:c>
      <x:c r="B82" s="46" t="str">
        <x:v>S1</x:v>
      </x:c>
      <x:c r="C82" s="46" t="str">
        <x:v>ST1</x:v>
      </x:c>
      <x:c r="D82" s="46" t="str">
        <x:v>把非现金补偿折算为可用价值</x:v>
      </x:c>
      <x:c r="E82" s="46" t="str">
        <x:v>方案包含折扣、备件、延保或未来服务时。</x:v>
      </x:c>
      <x:c r="F82" s="46" t="str">
        <x:v>评估使用概率、采购约束、时间和可替代成本。</x:v>
      </x:c>
      <x:c r="G82" s="46" t="str">
        <x:v>The proposed discount has value only if a follow-up order is approved.</x:v>
      </x:c>
      <x:c r="H82" s="46" t="str">
        <x:v>按面值直接等同现金。</x:v>
      </x:c>
      <x:c r="I82" s="46" t="str">
        <x:v>比较不同方案的真实效用。</x:v>
      </x:c>
      <x:c r="J82" s="46" t="str">
        <x:v>是</x:v>
      </x:c>
      <x:c r="K82" s="50" t="str">
        <x:f>IF(AND(A82&lt;&gt;"",B82&lt;&gt;"",C82&lt;&gt;"",D82&lt;&gt;"",E82&lt;&gt;"",F82&lt;&gt;"",I82&lt;&gt;""),"完整","请补充")</x:f>
        <x:v>完整</x:v>
      </x:c>
    </x:row>
    <x:row r="83" ht="70" customHeight="1">
      <x:c r="A83" s="46" t="str">
        <x:v>CASE-020</x:v>
      </x:c>
      <x:c r="B83" s="46" t="str">
        <x:v>S1</x:v>
      </x:c>
      <x:c r="C83" s="46" t="str">
        <x:v>ST2</x:v>
      </x:c>
      <x:c r="D83" s="46" t="str">
        <x:v>设计现金与非现金组合方案</x:v>
      </x:c>
      <x:c r="E83" s="46" t="str">
        <x:v>卖方现金能力有限但可提供产品或服务时。</x:v>
      </x:c>
      <x:c r="F83" s="46" t="str">
        <x:v>把部分退款、备件、运费和延保组合成可执行方案。</x:v>
      </x:c>
      <x:c r="G83" s="46" t="str">
        <x:v>We propose a partial refund plus free replacement units and extended warranty.</x:v>
      </x:c>
      <x:c r="H83" s="46" t="str">
        <x:v>只坚持单一形式。</x:v>
      </x:c>
      <x:c r="I83" s="46" t="str">
        <x:v>扩大和解空间并保持实质补偿。</x:v>
      </x:c>
      <x:c r="J83" s="46" t="str">
        <x:v>否</x:v>
      </x:c>
      <x:c r="K83" s="50" t="str">
        <x:f>IF(AND(A83&lt;&gt;"",B83&lt;&gt;"",C83&lt;&gt;"",D83&lt;&gt;"",E83&lt;&gt;"",F83&lt;&gt;"",I83&lt;&gt;""),"完整","请补充")</x:f>
        <x:v>完整</x:v>
      </x:c>
    </x:row>
    <x:row r="84" ht="70" customHeight="1">
      <x:c r="A84" s="46" t="str">
        <x:v>CASE-020</x:v>
      </x:c>
      <x:c r="B84" s="46" t="str">
        <x:v>S2</x:v>
      </x:c>
      <x:c r="C84" s="46" t="str">
        <x:v>ST1</x:v>
      </x:c>
      <x:c r="D84" s="46" t="str">
        <x:v>用条件化结案保护履行</x:v>
      </x:c>
      <x:c r="E84" s="46" t="str">
        <x:v>双方已接近和解但补偿尚未完成时。</x:v>
      </x:c>
      <x:c r="F84" s="46" t="str">
        <x:v>约定履行日期、证明和未履行时权利恢复。</x:v>
      </x:c>
      <x:c r="G84" s="46" t="str">
        <x:v>The claim will be closed upon full receipt of the agreed compensation.</x:v>
      </x:c>
      <x:c r="H84" s="46" t="str">
        <x:v>先无条件放弃全部权利。</x:v>
      </x:c>
      <x:c r="I84" s="46" t="str">
        <x:v>让结案与实际履行绑定。</x:v>
      </x:c>
      <x:c r="J84" s="46" t="str">
        <x:v>是</x:v>
      </x:c>
      <x:c r="K84" s="50" t="str">
        <x:f>IF(AND(A84&lt;&gt;"",B84&lt;&gt;"",C84&lt;&gt;"",D84&lt;&gt;"",E84&lt;&gt;"",F84&lt;&gt;"",I84&lt;&gt;""),"完整","请补充")</x:f>
        <x:v>完整</x:v>
      </x:c>
    </x:row>
    <x:row r="85" ht="70" customHeight="1">
      <x:c r="A85" s="46" t="str">
        <x:v>CASE-020</x:v>
      </x:c>
      <x:c r="B85" s="46" t="str">
        <x:v>S2</x:v>
      </x:c>
      <x:c r="C85" s="46" t="str">
        <x:v>ST2</x:v>
      </x:c>
      <x:c r="D85" s="46" t="str">
        <x:v>精确限定权利释放范围</x:v>
      </x:c>
      <x:c r="E85" s="46" t="str">
        <x:v>和解协议使用 release 或 full and final 表述时。</x:v>
      </x:c>
      <x:c r="F85" s="46" t="str">
        <x:v>只释放本批次、本问题和已列金额，不扩展到未知事项。</x:v>
      </x:c>
      <x:c r="G85" s="46" t="str">
        <x:v>The release is limited to the defects listed in Claim No. 2026-08.</x:v>
      </x:c>
      <x:c r="H85" s="46" t="str">
        <x:v>接受 all present and future claims。</x:v>
      </x:c>
      <x:c r="I85" s="46" t="str">
        <x:v>防止无意放弃其他合法权利。</x:v>
      </x:c>
      <x:c r="J85" s="46" t="str">
        <x:v>否</x:v>
      </x:c>
      <x:c r="K85" s="50" t="str">
        <x:f>IF(AND(A85&lt;&gt;"",B85&lt;&gt;"",C85&lt;&gt;"",D85&lt;&gt;"",E85&lt;&gt;"",F85&lt;&gt;"",I85&lt;&gt;""),"完整","请补充")</x:f>
        <x:v>完整</x:v>
      </x:c>
    </x:row>
  </x:sheetData>
  <x:mergeCells>
    <x:mergeCell ref="A1:K1"/>
    <x:mergeCell ref="A2:K2"/>
    <x:mergeCell ref="A3:K3"/>
  </x:mergeCells>
  <x:conditionalFormatting sqref="K6:K85">
    <x:cfRule type="containsText" dxfId="4" priority="1" operator="containsText" text="请补充"/>
    <x:cfRule type="containsText" dxfId="5" priority="2" operator="containsText" text="完整"/>
  </x:conditionalFormatting>
  <x:dataValidations count="1">
    <x:dataValidation type="list" sqref="J6:J85">
      <x:formula1>"是,否"</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14" hidden="0" customWidth="1"/>
    <x:col min="3" max="3" width="14" hidden="0" customWidth="1"/>
    <x:col min="4" max="4" width="16" hidden="0" customWidth="1"/>
    <x:col min="5" max="5" width="30" hidden="0" customWidth="1"/>
    <x:col min="6" max="6" width="50" hidden="0" customWidth="1"/>
    <x:col min="7" max="7" width="44" hidden="0" customWidth="1"/>
    <x:col min="8" max="8" width="34" hidden="0" customWidth="1"/>
    <x:col min="9" max="9" width="14" hidden="0" customWidth="1"/>
    <x:col min="10" max="10" width="14" hidden="0" customWidth="1"/>
    <x:col min="11" max="11" width="14" hidden="0" customWidth="1"/>
  </x:cols>
  <x:sheetData>
    <x:row r="1" ht="34" customHeight="1">
      <x:c r="A1" s="34" t="str">
        <x:v>04｜知识与材料</x:v>
      </x:c>
      <x:c r="B1" s="34"/>
      <x:c r="C1" s="34"/>
      <x:c r="D1" s="34"/>
      <x:c r="E1" s="34"/>
      <x:c r="F1" s="34"/>
      <x:c r="G1" s="34"/>
      <x:c r="H1" s="34"/>
      <x:c r="I1" s="34"/>
      <x:c r="J1" s="34"/>
      <x:c r="K1" s="34"/>
    </x:row>
    <x:row r="2" ht="30" customHeight="1">
      <x:c r="A2" s="36" t="str">
        <x:v>只配置能帮助学生识别局面、选择策略或完成任务的知识。不要为了图谱丰富堆砌无关术语。</x:v>
      </x:c>
      <x:c r="B2" s="36"/>
      <x:c r="C2" s="36"/>
      <x:c r="D2" s="36"/>
      <x:c r="E2" s="36"/>
      <x:c r="F2" s="36"/>
      <x:c r="G2" s="36"/>
      <x:c r="H2" s="36"/>
      <x:c r="I2" s="36"/>
      <x:c r="J2" s="36"/>
      <x:c r="K2" s="36"/>
    </x:row>
    <x:row r="3" ht="28" customHeight="1">
      <x:c r="A3" s="39" t="str">
        <x:v>每个局面配置两项知识资源，并说明知识如何支持学生行动。</x:v>
      </x:c>
      <x:c r="B3" s="39"/>
      <x:c r="C3" s="39"/>
      <x:c r="D3" s="39"/>
      <x:c r="E3" s="39"/>
      <x:c r="F3" s="39"/>
      <x:c r="G3" s="39"/>
      <x:c r="H3" s="39"/>
      <x:c r="I3" s="39"/>
      <x:c r="J3" s="39"/>
      <x:c r="K3" s="39"/>
    </x:row>
    <x:row r="4">
      <x:c r="A4" s="32"/>
      <x:c r="B4" s="32"/>
      <x:c r="C4" s="32"/>
      <x:c r="D4" s="32"/>
      <x:c r="E4" s="32"/>
      <x:c r="F4" s="32"/>
      <x:c r="G4" s="32"/>
      <x:c r="H4" s="32"/>
      <x:c r="I4" s="32"/>
      <x:c r="J4" s="32"/>
      <x:c r="K4" s="32"/>
    </x:row>
    <x:row r="5" ht="42" customHeight="1">
      <x:c r="A5" s="43" t="str">
        <x:v>案例编号（必填）</x:v>
      </x:c>
      <x:c r="B5" s="43" t="str">
        <x:v>局面编号</x:v>
      </x:c>
      <x:c r="C5" s="43" t="str">
        <x:v>材料编号（必填）</x:v>
      </x:c>
      <x:c r="D5" s="43" t="str">
        <x:v>类型（必填）</x:v>
      </x:c>
      <x:c r="E5" s="43" t="str">
        <x:v>标题（必填）</x:v>
      </x:c>
      <x:c r="F5" s="43" t="str">
        <x:v>教师解释（必填）</x:v>
      </x:c>
      <x:c r="G5" s="43" t="str">
        <x:v>与本案例的关系（必填）</x:v>
      </x:c>
      <x:c r="H5" s="43" t="str">
        <x:v>参考来源/文件</x:v>
      </x:c>
      <x:c r="I5" s="43" t="str">
        <x:v>学习要求</x:v>
      </x:c>
      <x:c r="J5" s="43" t="str">
        <x:v>展示时机</x:v>
      </x:c>
      <x:c r="K5" s="43" t="str">
        <x:v>填写检查</x:v>
      </x:c>
    </x:row>
    <x:row r="6" ht="70" customHeight="1">
      <x:c r="A6" s="46" t="str">
        <x:v>CASE-001</x:v>
      </x:c>
      <x:c r="B6" s="46" t="str">
        <x:v>S1</x:v>
      </x:c>
      <x:c r="C6" s="46" t="str">
        <x:v>K1</x:v>
      </x:c>
      <x:c r="D6" s="46" t="str">
        <x:v>业务流程</x:v>
      </x:c>
      <x:c r="E6" s="46" t="str">
        <x:v>建立业务关系函的沟通任务</x:v>
      </x:c>
      <x:c r="F6" s="46" t="str">
        <x:v>首函同时承担身份说明、需求表达、可信度建立和下一步推动四项任务。</x:v>
      </x:c>
      <x:c r="G6" s="46" t="str">
        <x:v>帮助学生安排首函信息顺序。</x:v>
      </x:c>
      <x:c r="H6" s="46" t="str">
        <x:v>课程组《建立业务关系函》</x:v>
      </x:c>
      <x:c r="I6" s="46" t="str">
        <x:v>必学</x:v>
      </x:c>
      <x:c r="J6" s="46" t="str">
        <x:v>需要时</x:v>
      </x:c>
      <x:c r="K6" s="50" t="str">
        <x:f>IF(AND(A6&lt;&gt;"",C6&lt;&gt;"",D6&lt;&gt;"",E6&lt;&gt;"",F6&lt;&gt;"",G6&lt;&gt;""),"完整","请补充")</x:f>
        <x:v>完整</x:v>
      </x:c>
    </x:row>
    <x:row r="7" ht="70" customHeight="1">
      <x:c r="A7" s="46" t="str">
        <x:v>CASE-001</x:v>
      </x:c>
      <x:c r="B7" s="46" t="str">
        <x:v>S1</x:v>
      </x:c>
      <x:c r="C7" s="46" t="str">
        <x:v>K2</x:v>
      </x:c>
      <x:c r="D7" s="46" t="str">
        <x:v>语言表达</x:v>
      </x:c>
      <x:c r="E7" s="46" t="str">
        <x:v>商务信函 7C 原则</x:v>
      </x:c>
      <x:c r="F7" s="46" t="str">
        <x:v>表达应清楚、简洁、具体、正确、连贯、完整并礼貌。</x:v>
      </x:c>
      <x:c r="G7" s="46" t="str">
        <x:v>用于检查首函是否专业且易于执行。</x:v>
      </x:c>
      <x:c r="H7" s="46" t="str">
        <x:v>课程组 7C 检查表</x:v>
      </x:c>
      <x:c r="I7" s="46" t="str">
        <x:v>必学</x:v>
      </x:c>
      <x:c r="J7" s="46" t="str">
        <x:v>训练前</x:v>
      </x:c>
      <x:c r="K7" s="50" t="str">
        <x:f>IF(AND(A7&lt;&gt;"",C7&lt;&gt;"",D7&lt;&gt;"",E7&lt;&gt;"",F7&lt;&gt;"",G7&lt;&gt;""),"完整","请补充")</x:f>
        <x:v>完整</x:v>
      </x:c>
    </x:row>
    <x:row r="8" ht="70" customHeight="1">
      <x:c r="A8" s="46" t="str">
        <x:v>CASE-001</x:v>
      </x:c>
      <x:c r="B8" s="46" t="str">
        <x:v>S2</x:v>
      </x:c>
      <x:c r="C8" s="46" t="str">
        <x:v>K3</x:v>
      </x:c>
      <x:c r="D8" s="46" t="str">
        <x:v>单证</x:v>
      </x:c>
      <x:c r="E8" s="46" t="str">
        <x:v>商务邮件八大部件</x:v>
      </x:c>
      <x:c r="F8" s="46" t="str">
        <x:v>主题、称呼、开场、正文、行动请求、结尾、落款和联系方式共同保证邮件完整。</x:v>
      </x:c>
      <x:c r="G8" s="46" t="str">
        <x:v>帮助学生形成可直接发送的标准邮件。</x:v>
      </x:c>
      <x:c r="H8" s="46" t="str">
        <x:v>课程组商务邮件模板</x:v>
      </x:c>
      <x:c r="I8" s="46" t="str">
        <x:v>必学</x:v>
      </x:c>
      <x:c r="J8" s="46" t="str">
        <x:v>需要时</x:v>
      </x:c>
      <x:c r="K8" s="50" t="str">
        <x:f>IF(AND(A8&lt;&gt;"",C8&lt;&gt;"",D8&lt;&gt;"",E8&lt;&gt;"",F8&lt;&gt;"",G8&lt;&gt;""),"完整","请补充")</x:f>
        <x:v>完整</x:v>
      </x:c>
    </x:row>
    <x:row r="9" ht="70" customHeight="1">
      <x:c r="A9" s="46" t="str">
        <x:v>CASE-001</x:v>
      </x:c>
      <x:c r="B9" s="46" t="str">
        <x:v>S2</x:v>
      </x:c>
      <x:c r="C9" s="46" t="str">
        <x:v>K4</x:v>
      </x:c>
      <x:c r="D9" s="46" t="str">
        <x:v>产品与市场</x:v>
      </x:c>
      <x:c r="E9" s="46" t="str">
        <x:v>供应商初筛资料包</x:v>
      </x:c>
      <x:c r="F9" s="46" t="str">
        <x:v>目录、规格、认证、MOQ、价格区间和交期是供应商初筛的基本材料。</x:v>
      </x:c>
      <x:c r="G9" s="46" t="str">
        <x:v>避免只索取价格而无法判断供应能力。</x:v>
      </x:c>
      <x:c r="H9" s="46" t="str">
        <x:v>课程组供应商初筛清单</x:v>
      </x:c>
      <x:c r="I9" s="46" t="str">
        <x:v>选学</x:v>
      </x:c>
      <x:c r="J9" s="46" t="str">
        <x:v>需要时</x:v>
      </x:c>
      <x:c r="K9" s="50" t="str">
        <x:f>IF(AND(A9&lt;&gt;"",C9&lt;&gt;"",D9&lt;&gt;"",E9&lt;&gt;"",F9&lt;&gt;"",G9&lt;&gt;""),"完整","请补充")</x:f>
        <x:v>完整</x:v>
      </x:c>
    </x:row>
    <x:row r="10" ht="70" customHeight="1">
      <x:c r="A10" s="46" t="str">
        <x:v>CASE-002</x:v>
      </x:c>
      <x:c r="B10" s="46" t="str">
        <x:v>S1</x:v>
      </x:c>
      <x:c r="C10" s="46" t="str">
        <x:v>K1</x:v>
      </x:c>
      <x:c r="D10" s="46" t="str">
        <x:v>术语</x:v>
      </x:c>
      <x:c r="E10" s="46" t="str">
        <x:v>一般询盘与具体询盘</x:v>
      </x:c>
      <x:c r="F10" s="46" t="str">
        <x:v>一般询盘了解产品范围，具体询盘提供明确标的与条件以取得可操作报价。</x:v>
      </x:c>
      <x:c r="G10" s="46" t="str">
        <x:v>帮助学生选择正确的询盘颗粒度。</x:v>
      </x:c>
      <x:c r="H10" s="46" t="str">
        <x:v>课程组询盘章节</x:v>
      </x:c>
      <x:c r="I10" s="46" t="str">
        <x:v>必学</x:v>
      </x:c>
      <x:c r="J10" s="46" t="str">
        <x:v>需要时</x:v>
      </x:c>
      <x:c r="K10" s="50" t="str">
        <x:f>IF(AND(A10&lt;&gt;"",C10&lt;&gt;"",D10&lt;&gt;"",E10&lt;&gt;"",F10&lt;&gt;"",G10&lt;&gt;""),"完整","请补充")</x:f>
        <x:v>完整</x:v>
      </x:c>
    </x:row>
    <x:row r="11" ht="70" customHeight="1">
      <x:c r="A11" s="46" t="str">
        <x:v>CASE-002</x:v>
      </x:c>
      <x:c r="B11" s="46" t="str">
        <x:v>S1</x:v>
      </x:c>
      <x:c r="C11" s="46" t="str">
        <x:v>K2</x:v>
      </x:c>
      <x:c r="D11" s="46" t="str">
        <x:v>业务流程</x:v>
      </x:c>
      <x:c r="E11" s="46" t="str">
        <x:v>具体询盘七要素</x:v>
      </x:c>
      <x:c r="F11" s="46" t="str">
        <x:v>品名、规格、数量、价格术语、付款、交期与有效期构成可比较询盘。</x:v>
      </x:c>
      <x:c r="G11" s="46" t="str">
        <x:v>直接支撑学生检查邮件是否漏项。</x:v>
      </x:c>
      <x:c r="H11" s="46" t="str">
        <x:v>课程组询盘检查表</x:v>
      </x:c>
      <x:c r="I11" s="46" t="str">
        <x:v>必学</x:v>
      </x:c>
      <x:c r="J11" s="46" t="str">
        <x:v>训练前</x:v>
      </x:c>
      <x:c r="K11" s="50" t="str">
        <x:f>IF(AND(A11&lt;&gt;"",C11&lt;&gt;"",D11&lt;&gt;"",E11&lt;&gt;"",F11&lt;&gt;"",G11&lt;&gt;""),"完整","请补充")</x:f>
        <x:v>完整</x:v>
      </x:c>
    </x:row>
    <x:row r="12" ht="70" customHeight="1">
      <x:c r="A12" s="46" t="str">
        <x:v>CASE-002</x:v>
      </x:c>
      <x:c r="B12" s="46" t="str">
        <x:v>S2</x:v>
      </x:c>
      <x:c r="C12" s="46" t="str">
        <x:v>K3</x:v>
      </x:c>
      <x:c r="D12" s="46" t="str">
        <x:v>术语</x:v>
      </x:c>
      <x:c r="E12" s="46" t="str">
        <x:v>CIF Shanghai 2020</x:v>
      </x:c>
      <x:c r="F12" s="46" t="str">
        <x:v>CIF 指卖方承担成本、保险和运费至上海港，但风险通常在装运港装船时转移。</x:v>
      </x:c>
      <x:c r="G12" s="46" t="str">
        <x:v>避免把 CIF 误解为卖方承担全程风险。</x:v>
      </x:c>
      <x:c r="H12" s="46" t="str">
        <x:v>Incoterms 2020</x:v>
      </x:c>
      <x:c r="I12" s="46" t="str">
        <x:v>必学</x:v>
      </x:c>
      <x:c r="J12" s="46" t="str">
        <x:v>需要时</x:v>
      </x:c>
      <x:c r="K12" s="50" t="str">
        <x:f>IF(AND(A12&lt;&gt;"",C12&lt;&gt;"",D12&lt;&gt;"",E12&lt;&gt;"",F12&lt;&gt;"",G12&lt;&gt;""),"完整","请补充")</x:f>
        <x:v>完整</x:v>
      </x:c>
    </x:row>
    <x:row r="13" ht="70" customHeight="1">
      <x:c r="A13" s="46" t="str">
        <x:v>CASE-002</x:v>
      </x:c>
      <x:c r="B13" s="46" t="str">
        <x:v>S2</x:v>
      </x:c>
      <x:c r="C13" s="46" t="str">
        <x:v>K4</x:v>
      </x:c>
      <x:c r="D13" s="46" t="str">
        <x:v>语言表达</x:v>
      </x:c>
      <x:c r="E13" s="46" t="str">
        <x:v>保留议价空间的询盘表达</x:v>
      </x:c>
      <x:c r="F13" s="46" t="str">
        <x:v>用 trial order、subject to approval 和 price breaks 表达真实需求而不暴露底牌。</x:v>
      </x:c>
      <x:c r="G13" s="46" t="str">
        <x:v>帮助学生兼顾诚意与信息边界。</x:v>
      </x:c>
      <x:c r="H13" s="46" t="str">
        <x:v>课程组询盘句框</x:v>
      </x:c>
      <x:c r="I13" s="46" t="str">
        <x:v>选学</x:v>
      </x:c>
      <x:c r="J13" s="46" t="str">
        <x:v>需要时</x:v>
      </x:c>
      <x:c r="K13" s="50" t="str">
        <x:f>IF(AND(A13&lt;&gt;"",C13&lt;&gt;"",D13&lt;&gt;"",E13&lt;&gt;"",F13&lt;&gt;"",G13&lt;&gt;""),"完整","请补充")</x:f>
        <x:v>完整</x:v>
      </x:c>
    </x:row>
    <x:row r="14" ht="70" customHeight="1">
      <x:c r="A14" s="46" t="str">
        <x:v>CASE-003</x:v>
      </x:c>
      <x:c r="B14" s="46" t="str">
        <x:v>S1</x:v>
      </x:c>
      <x:c r="C14" s="46" t="str">
        <x:v>K1</x:v>
      </x:c>
      <x:c r="D14" s="46" t="str">
        <x:v>单证</x:v>
      </x:c>
      <x:c r="E14" s="46" t="str">
        <x:v>催复函结构</x:v>
      </x:c>
      <x:c r="F14" s="46" t="str">
        <x:v>催复函应引用原函、说明当前需要、给出回复节点并保留合作语气。</x:v>
      </x:c>
      <x:c r="G14" s="46" t="str">
        <x:v>帮助学生完成不冒犯的有效催询。</x:v>
      </x:c>
      <x:c r="H14" s="46" t="str">
        <x:v>课程组催复函模板</x:v>
      </x:c>
      <x:c r="I14" s="46" t="str">
        <x:v>必学</x:v>
      </x:c>
      <x:c r="J14" s="46" t="str">
        <x:v>需要时</x:v>
      </x:c>
      <x:c r="K14" s="50" t="str">
        <x:f>IF(AND(A14&lt;&gt;"",C14&lt;&gt;"",D14&lt;&gt;"",E14&lt;&gt;"",F14&lt;&gt;"",G14&lt;&gt;""),"完整","请补充")</x:f>
        <x:v>完整</x:v>
      </x:c>
    </x:row>
    <x:row r="15" ht="70" customHeight="1">
      <x:c r="A15" s="46" t="str">
        <x:v>CASE-003</x:v>
      </x:c>
      <x:c r="B15" s="46" t="str">
        <x:v>S1</x:v>
      </x:c>
      <x:c r="C15" s="46" t="str">
        <x:v>K2</x:v>
      </x:c>
      <x:c r="D15" s="46" t="str">
        <x:v>业务流程</x:v>
      </x:c>
      <x:c r="E15" s="46" t="str">
        <x:v>报价响应时限管理</x:v>
      </x:c>
      <x:c r="F15" s="46" t="str">
        <x:v>不同复杂度的询盘应设预期响应周期和内部评审缓冲。</x:v>
      </x:c>
      <x:c r="G15" s="46" t="str">
        <x:v>帮助学生提出合理期限而非虚假紧急。</x:v>
      </x:c>
      <x:c r="H15" s="46" t="str">
        <x:v>课程组采购节奏指南</x:v>
      </x:c>
      <x:c r="I15" s="46" t="str">
        <x:v>必学</x:v>
      </x:c>
      <x:c r="J15" s="46" t="str">
        <x:v>需要时</x:v>
      </x:c>
      <x:c r="K15" s="50" t="str">
        <x:f>IF(AND(A15&lt;&gt;"",C15&lt;&gt;"",D15&lt;&gt;"",E15&lt;&gt;"",F15&lt;&gt;"",G15&lt;&gt;""),"完整","请补充")</x:f>
        <x:v>完整</x:v>
      </x:c>
    </x:row>
    <x:row r="16" ht="70" customHeight="1">
      <x:c r="A16" s="46" t="str">
        <x:v>CASE-003</x:v>
      </x:c>
      <x:c r="B16" s="46" t="str">
        <x:v>S2</x:v>
      </x:c>
      <x:c r="C16" s="46" t="str">
        <x:v>K3</x:v>
      </x:c>
      <x:c r="D16" s="46" t="str">
        <x:v>术语</x:v>
      </x:c>
      <x:c r="E16" s="46" t="str">
        <x:v>信息不对称与买方底牌</x:v>
      </x:c>
      <x:c r="F16" s="46" t="str">
        <x:v>预算、最后接受价和真实紧迫度会改变对方定价与让步判断。</x:v>
      </x:c>
      <x:c r="G16" s="46" t="str">
        <x:v>支持学生识别敏感信息。</x:v>
      </x:c>
      <x:c r="H16" s="46" t="str">
        <x:v>课程组谈判信息策略</x:v>
      </x:c>
      <x:c r="I16" s="46" t="str">
        <x:v>必学</x:v>
      </x:c>
      <x:c r="J16" s="46" t="str">
        <x:v>需要时</x:v>
      </x:c>
      <x:c r="K16" s="50" t="str">
        <x:f>IF(AND(A16&lt;&gt;"",C16&lt;&gt;"",D16&lt;&gt;"",E16&lt;&gt;"",F16&lt;&gt;"",G16&lt;&gt;""),"完整","请补充")</x:f>
        <x:v>完整</x:v>
      </x:c>
    </x:row>
    <x:row r="17" ht="70" customHeight="1">
      <x:c r="A17" s="46" t="str">
        <x:v>CASE-003</x:v>
      </x:c>
      <x:c r="B17" s="46" t="str">
        <x:v>S2</x:v>
      </x:c>
      <x:c r="C17" s="46" t="str">
        <x:v>K4</x:v>
      </x:c>
      <x:c r="D17" s="46" t="str">
        <x:v>语言表达</x:v>
      </x:c>
      <x:c r="E17" s="46" t="str">
        <x:v>礼貌而坚定的催复表达</x:v>
      </x:c>
      <x:c r="F17" s="46" t="str">
        <x:v>用 scheduled review、expected date 等客观节点替代情绪化催促。</x:v>
      </x:c>
      <x:c r="G17" s="46" t="str">
        <x:v>让催询既明确又维护关系。</x:v>
      </x:c>
      <x:c r="H17" s="46" t="str">
        <x:v>课程组催复句框</x:v>
      </x:c>
      <x:c r="I17" s="46" t="str">
        <x:v>选学</x:v>
      </x:c>
      <x:c r="J17" s="46" t="str">
        <x:v>需要时</x:v>
      </x:c>
      <x:c r="K17" s="50" t="str">
        <x:f>IF(AND(A17&lt;&gt;"",C17&lt;&gt;"",D17&lt;&gt;"",E17&lt;&gt;"",F17&lt;&gt;"",G17&lt;&gt;""),"完整","请补充")</x:f>
        <x:v>完整</x:v>
      </x:c>
    </x:row>
    <x:row r="18" ht="70" customHeight="1">
      <x:c r="A18" s="46" t="str">
        <x:v>CASE-004</x:v>
      </x:c>
      <x:c r="B18" s="46" t="str">
        <x:v>S1</x:v>
      </x:c>
      <x:c r="C18" s="46" t="str">
        <x:v>K1</x:v>
      </x:c>
      <x:c r="D18" s="46" t="str">
        <x:v>术语</x:v>
      </x:c>
      <x:c r="E18" s="46" t="str">
        <x:v>实盘与虚盘的承诺边界</x:v>
      </x:c>
      <x:c r="F18" s="46" t="str">
        <x:v>实盘需有确定条件和受约束意旨；附最终确认等保留语通常不能视为确定承诺。</x:v>
      </x:c>
      <x:c r="G18" s="46" t="str">
        <x:v>帮助学生判断报价能否被内部决策依赖。</x:v>
      </x:c>
      <x:c r="H18" s="46" t="str">
        <x:v>CISG 第14—16条；课程组解释</x:v>
      </x:c>
      <x:c r="I18" s="46" t="str">
        <x:v>必学</x:v>
      </x:c>
      <x:c r="J18" s="46" t="str">
        <x:v>需要时</x:v>
      </x:c>
      <x:c r="K18" s="50" t="str">
        <x:f>IF(AND(A18&lt;&gt;"",C18&lt;&gt;"",D18&lt;&gt;"",E18&lt;&gt;"",F18&lt;&gt;"",G18&lt;&gt;""),"完整","请补充")</x:f>
        <x:v>完整</x:v>
      </x:c>
    </x:row>
    <x:row r="19" ht="70" customHeight="1">
      <x:c r="A19" s="46" t="str">
        <x:v>CASE-004</x:v>
      </x:c>
      <x:c r="B19" s="46" t="str">
        <x:v>S1</x:v>
      </x:c>
      <x:c r="C19" s="46" t="str">
        <x:v>K2</x:v>
      </x:c>
      <x:c r="D19" s="46" t="str">
        <x:v>规则</x:v>
      </x:c>
      <x:c r="E19" s="46" t="str">
        <x:v>CISG 要约成立条件</x:v>
      </x:c>
      <x:c r="F19" s="46" t="str">
        <x:v>要约应足够确定，并显示发盘人在被接受时受其约束的意旨。</x:v>
      </x:c>
      <x:c r="G19" s="46" t="str">
        <x:v>为学生请求正式承诺提供规则依据。</x:v>
      </x:c>
      <x:c r="H19" s="46" t="str">
        <x:v>CISG 第14条</x:v>
      </x:c>
      <x:c r="I19" s="46" t="str">
        <x:v>必学</x:v>
      </x:c>
      <x:c r="J19" s="46" t="str">
        <x:v>需要时</x:v>
      </x:c>
      <x:c r="K19" s="50" t="str">
        <x:f>IF(AND(A19&lt;&gt;"",C19&lt;&gt;"",D19&lt;&gt;"",E19&lt;&gt;"",F19&lt;&gt;"",G19&lt;&gt;""),"完整","请补充")</x:f>
        <x:v>完整</x:v>
      </x:c>
    </x:row>
    <x:row r="20" ht="70" customHeight="1">
      <x:c r="A20" s="46" t="str">
        <x:v>CASE-004</x:v>
      </x:c>
      <x:c r="B20" s="46" t="str">
        <x:v>S2</x:v>
      </x:c>
      <x:c r="C20" s="46" t="str">
        <x:v>K3</x:v>
      </x:c>
      <x:c r="D20" s="46" t="str">
        <x:v>术语</x:v>
      </x:c>
      <x:c r="E20" s="46" t="str">
        <x:v>报价有效期</x:v>
      </x:c>
      <x:c r="F20" s="46" t="str">
        <x:v>有效期界定承诺持续时间和接受窗口。</x:v>
      </x:c>
      <x:c r="G20" s="46" t="str">
        <x:v>帮助学生提出与审批周期匹配的期限。</x:v>
      </x:c>
      <x:c r="H20" s="46" t="str">
        <x:v>课程组报盘章节</x:v>
      </x:c>
      <x:c r="I20" s="46" t="str">
        <x:v>必学</x:v>
      </x:c>
      <x:c r="J20" s="46" t="str">
        <x:v>需要时</x:v>
      </x:c>
      <x:c r="K20" s="50" t="str">
        <x:f>IF(AND(A20&lt;&gt;"",C20&lt;&gt;"",D20&lt;&gt;"",E20&lt;&gt;"",F20&lt;&gt;"",G20&lt;&gt;""),"完整","请补充")</x:f>
        <x:v>完整</x:v>
      </x:c>
    </x:row>
    <x:row r="21" ht="70" customHeight="1">
      <x:c r="A21" s="46" t="str">
        <x:v>CASE-004</x:v>
      </x:c>
      <x:c r="B21" s="46" t="str">
        <x:v>S2</x:v>
      </x:c>
      <x:c r="C21" s="46" t="str">
        <x:v>K4</x:v>
      </x:c>
      <x:c r="D21" s="46" t="str">
        <x:v>语言表达</x:v>
      </x:c>
      <x:c r="E21" s="46" t="str">
        <x:v>请求明确承诺的英文表达</x:v>
      </x:c>
      <x:c r="F21" s="46" t="str">
        <x:v>礼貌复述限制语，再具体要求 firm offer 与 valid until。</x:v>
      </x:c>
      <x:c r="G21" s="46" t="str">
        <x:v>把规则判断转为可执行沟通。</x:v>
      </x:c>
      <x:c r="H21" s="46" t="str">
        <x:v>课程组报盘句框</x:v>
      </x:c>
      <x:c r="I21" s="46" t="str">
        <x:v>选学</x:v>
      </x:c>
      <x:c r="J21" s="46" t="str">
        <x:v>需要时</x:v>
      </x:c>
      <x:c r="K21" s="50" t="str">
        <x:f>IF(AND(A21&lt;&gt;"",C21&lt;&gt;"",D21&lt;&gt;"",E21&lt;&gt;"",F21&lt;&gt;"",G21&lt;&gt;""),"完整","请补充")</x:f>
        <x:v>完整</x:v>
      </x:c>
    </x:row>
    <x:row r="22" ht="70" customHeight="1">
      <x:c r="A22" s="46" t="str">
        <x:v>CASE-005</x:v>
      </x:c>
      <x:c r="B22" s="46" t="str">
        <x:v>S1</x:v>
      </x:c>
      <x:c r="C22" s="46" t="str">
        <x:v>K1</x:v>
      </x:c>
      <x:c r="D22" s="46" t="str">
        <x:v>业务流程</x:v>
      </x:c>
      <x:c r="E22" s="46" t="str">
        <x:v>实盘六要素复核</x:v>
      </x:c>
      <x:c r="F22" s="46" t="str">
        <x:v>标的、数量、价格、付款、交付和有效期需要形成一致的商业方案。</x:v>
      </x:c>
      <x:c r="G22" s="46" t="str">
        <x:v>为学生提供逐项核对路径。</x:v>
      </x:c>
      <x:c r="H22" s="46" t="str">
        <x:v>课程组实盘复核表</x:v>
      </x:c>
      <x:c r="I22" s="46" t="str">
        <x:v>必学</x:v>
      </x:c>
      <x:c r="J22" s="46" t="str">
        <x:v>需要时</x:v>
      </x:c>
      <x:c r="K22" s="50" t="str">
        <x:f>IF(AND(A22&lt;&gt;"",C22&lt;&gt;"",D22&lt;&gt;"",E22&lt;&gt;"",F22&lt;&gt;"",G22&lt;&gt;""),"完整","请补充")</x:f>
        <x:v>完整</x:v>
      </x:c>
    </x:row>
    <x:row r="23" ht="70" customHeight="1">
      <x:c r="A23" s="46" t="str">
        <x:v>CASE-005</x:v>
      </x:c>
      <x:c r="B23" s="46" t="str">
        <x:v>S1</x:v>
      </x:c>
      <x:c r="C23" s="46" t="str">
        <x:v>K2</x:v>
      </x:c>
      <x:c r="D23" s="46" t="str">
        <x:v>规则</x:v>
      </x:c>
      <x:c r="E23" s="46" t="str">
        <x:v>CISG 要约撤回与撤销</x:v>
      </x:c>
      <x:c r="F23" s="46" t="str">
        <x:v>要约的生效、撤回、撤销及不可撤销条件影响接受窗口。</x:v>
      </x:c>
      <x:c r="G23" s="46" t="str">
        <x:v>帮助学生理解实盘约束并判断时间风险。</x:v>
      </x:c>
      <x:c r="H23" s="46" t="str">
        <x:v>CISG 第15—16条</x:v>
      </x:c>
      <x:c r="I23" s="46" t="str">
        <x:v>必学</x:v>
      </x:c>
      <x:c r="J23" s="46" t="str">
        <x:v>需要时</x:v>
      </x:c>
      <x:c r="K23" s="50" t="str">
        <x:f>IF(AND(A23&lt;&gt;"",C23&lt;&gt;"",D23&lt;&gt;"",E23&lt;&gt;"",F23&lt;&gt;"",G23&lt;&gt;""),"完整","请补充")</x:f>
        <x:v>完整</x:v>
      </x:c>
    </x:row>
    <x:row r="24" ht="70" customHeight="1">
      <x:c r="A24" s="46" t="str">
        <x:v>CASE-005</x:v>
      </x:c>
      <x:c r="B24" s="46" t="str">
        <x:v>S2</x:v>
      </x:c>
      <x:c r="C24" s="46" t="str">
        <x:v>K3</x:v>
      </x:c>
      <x:c r="D24" s="46" t="str">
        <x:v>规则</x:v>
      </x:c>
      <x:c r="E24" s="46" t="str">
        <x:v>CISG 接受生效与迟到接受</x:v>
      </x:c>
      <x:c r="F24" s="46" t="str">
        <x:v>接受通常在到达发盘人时生效，迟到接受可能需要发盘人确认。</x:v>
      </x:c>
      <x:c r="G24" s="46" t="str">
        <x:v>支持学生选择发送时间和证据。</x:v>
      </x:c>
      <x:c r="H24" s="46" t="str">
        <x:v>CISG 第18、21条</x:v>
      </x:c>
      <x:c r="I24" s="46" t="str">
        <x:v>必学</x:v>
      </x:c>
      <x:c r="J24" s="46" t="str">
        <x:v>需要时</x:v>
      </x:c>
      <x:c r="K24" s="50" t="str">
        <x:f>IF(AND(A24&lt;&gt;"",C24&lt;&gt;"",D24&lt;&gt;"",E24&lt;&gt;"",F24&lt;&gt;"",G24&lt;&gt;""),"完整","请补充")</x:f>
        <x:v>完整</x:v>
      </x:c>
    </x:row>
    <x:row r="25" ht="70" customHeight="1">
      <x:c r="A25" s="46" t="str">
        <x:v>CASE-005</x:v>
      </x:c>
      <x:c r="B25" s="46" t="str">
        <x:v>S2</x:v>
      </x:c>
      <x:c r="C25" s="46" t="str">
        <x:v>K4</x:v>
      </x:c>
      <x:c r="D25" s="46" t="str">
        <x:v>单证</x:v>
      </x:c>
      <x:c r="E25" s="46" t="str">
        <x:v>实盘要素复核单</x:v>
      </x:c>
      <x:c r="F25" s="46" t="str">
        <x:v>把报价中的商业要素、期限和疑点集中记录。</x:v>
      </x:c>
      <x:c r="G25" s="46" t="str">
        <x:v>避免在对话中漏掉关键条件。</x:v>
      </x:c>
      <x:c r="H25" s="46" t="str">
        <x:v>课程组实盘复核单</x:v>
      </x:c>
      <x:c r="I25" s="46" t="str">
        <x:v>选学</x:v>
      </x:c>
      <x:c r="J25" s="46" t="str">
        <x:v>需要时</x:v>
      </x:c>
      <x:c r="K25" s="50" t="str">
        <x:f>IF(AND(A25&lt;&gt;"",C25&lt;&gt;"",D25&lt;&gt;"",E25&lt;&gt;"",F25&lt;&gt;"",G25&lt;&gt;""),"完整","请补充")</x:f>
        <x:v>完整</x:v>
      </x:c>
    </x:row>
    <x:row r="26" ht="70" customHeight="1">
      <x:c r="A26" s="46" t="str">
        <x:v>CASE-006</x:v>
      </x:c>
      <x:c r="B26" s="46" t="str">
        <x:v>S1</x:v>
      </x:c>
      <x:c r="C26" s="46" t="str">
        <x:v>K1</x:v>
      </x:c>
      <x:c r="D26" s="46" t="str">
        <x:v>规则</x:v>
      </x:c>
      <x:c r="E26" s="46" t="str">
        <x:v>还盘的法律性质与 CISG 第19条</x:v>
      </x:c>
      <x:c r="F26" s="46" t="str">
        <x:v>对价格、付款或交期作实质修改通常构成还盘。</x:v>
      </x:c>
      <x:c r="G26" s="46" t="str">
        <x:v>帮助学生理解新条件改变了谈判与法律位置。</x:v>
      </x:c>
      <x:c r="H26" s="46" t="str">
        <x:v>CISG 第19条</x:v>
      </x:c>
      <x:c r="I26" s="46" t="str">
        <x:v>必学</x:v>
      </x:c>
      <x:c r="J26" s="46" t="str">
        <x:v>需要时</x:v>
      </x:c>
      <x:c r="K26" s="50" t="str">
        <x:f>IF(AND(A26&lt;&gt;"",C26&lt;&gt;"",D26&lt;&gt;"",E26&lt;&gt;"",F26&lt;&gt;"",G26&lt;&gt;""),"完整","请补充")</x:f>
        <x:v>完整</x:v>
      </x:c>
    </x:row>
    <x:row r="27" ht="70" customHeight="1">
      <x:c r="A27" s="46" t="str">
        <x:v>CASE-006</x:v>
      </x:c>
      <x:c r="B27" s="46" t="str">
        <x:v>S1</x:v>
      </x:c>
      <x:c r="C27" s="46" t="str">
        <x:v>K2</x:v>
      </x:c>
      <x:c r="D27" s="46" t="str">
        <x:v>术语</x:v>
      </x:c>
      <x:c r="E27" s="46" t="str">
        <x:v>锚定效应与合理区间</x:v>
      </x:c>
      <x:c r="F27" s="46" t="str">
        <x:v>先提出的具体数值会影响讨论区间，但锚点需有事实支撑。</x:v>
      </x:c>
      <x:c r="G27" s="46" t="str">
        <x:v>指导学生设定可信的 278 美元锚点。</x:v>
      </x:c>
      <x:c r="H27" s="46" t="str">
        <x:v>课程组谈判心理材料</x:v>
      </x:c>
      <x:c r="I27" s="46" t="str">
        <x:v>必学</x:v>
      </x:c>
      <x:c r="J27" s="46" t="str">
        <x:v>需要时</x:v>
      </x:c>
      <x:c r="K27" s="50" t="str">
        <x:f>IF(AND(A27&lt;&gt;"",C27&lt;&gt;"",D27&lt;&gt;"",E27&lt;&gt;"",F27&lt;&gt;"",G27&lt;&gt;""),"完整","请补充")</x:f>
        <x:v>完整</x:v>
      </x:c>
    </x:row>
    <x:row r="28" ht="70" customHeight="1">
      <x:c r="A28" s="46" t="str">
        <x:v>CASE-006</x:v>
      </x:c>
      <x:c r="B28" s="46" t="str">
        <x:v>S2</x:v>
      </x:c>
      <x:c r="C28" s="46" t="str">
        <x:v>K3</x:v>
      </x:c>
      <x:c r="D28" s="46" t="str">
        <x:v>业务流程</x:v>
      </x:c>
      <x:c r="E28" s="46" t="str">
        <x:v>让步台账与交换条件</x:v>
      </x:c>
      <x:c r="F28" s="46" t="str">
        <x:v>记录每轮让步、获得回报和剩余空间，避免重复或无偿让步。</x:v>
      </x:c>
      <x:c r="G28" s="46" t="str">
        <x:v>帮助学生保持谈判纪律。</x:v>
      </x:c>
      <x:c r="H28" s="46" t="str">
        <x:v>课程组让步台账</x:v>
      </x:c>
      <x:c r="I28" s="46" t="str">
        <x:v>必学</x:v>
      </x:c>
      <x:c r="J28" s="46" t="str">
        <x:v>需要时</x:v>
      </x:c>
      <x:c r="K28" s="50" t="str">
        <x:f>IF(AND(A28&lt;&gt;"",C28&lt;&gt;"",D28&lt;&gt;"",E28&lt;&gt;"",F28&lt;&gt;"",G28&lt;&gt;""),"完整","请补充")</x:f>
        <x:v>完整</x:v>
      </x:c>
    </x:row>
    <x:row r="29" ht="70" customHeight="1">
      <x:c r="A29" s="46" t="str">
        <x:v>CASE-006</x:v>
      </x:c>
      <x:c r="B29" s="46" t="str">
        <x:v>S2</x:v>
      </x:c>
      <x:c r="C29" s="46" t="str">
        <x:v>K4</x:v>
      </x:c>
      <x:c r="D29" s="46" t="str">
        <x:v>产品与市场</x:v>
      </x:c>
      <x:c r="E29" s="46" t="str">
        <x:v>可比报价的使用边界</x:v>
      </x:c>
      <x:c r="F29" s="46" t="str">
        <x:v>可比报价需在规格、术语、数量和服务上可比，不能只比较裸价。</x:v>
      </x:c>
      <x:c r="G29" s="46" t="str">
        <x:v>支持客观价格论证并防止误导。</x:v>
      </x:c>
      <x:c r="H29" s="46" t="str">
        <x:v>课程组供应商比价表</x:v>
      </x:c>
      <x:c r="I29" s="46" t="str">
        <x:v>选学</x:v>
      </x:c>
      <x:c r="J29" s="46" t="str">
        <x:v>需要时</x:v>
      </x:c>
      <x:c r="K29" s="50" t="str">
        <x:f>IF(AND(A29&lt;&gt;"",C29&lt;&gt;"",D29&lt;&gt;"",E29&lt;&gt;"",F29&lt;&gt;"",G29&lt;&gt;""),"完整","请补充")</x:f>
        <x:v>完整</x:v>
      </x:c>
    </x:row>
    <x:row r="30" ht="70" customHeight="1">
      <x:c r="A30" s="46" t="str">
        <x:v>CASE-007</x:v>
      </x:c>
      <x:c r="B30" s="46" t="str">
        <x:v>S1</x:v>
      </x:c>
      <x:c r="C30" s="46" t="str">
        <x:v>K1</x:v>
      </x:c>
      <x:c r="D30" s="46" t="str">
        <x:v>术语</x:v>
      </x:c>
      <x:c r="E30" s="46" t="str">
        <x:v>L/C 与 T/T 的风险差异</x:v>
      </x:c>
      <x:c r="F30" s="46" t="str">
        <x:v>信用证以银行条件性付款承诺降低卖方信用风险，T/T 的风险取决于付款时点。</x:v>
      </x:c>
      <x:c r="G30" s="46" t="str">
        <x:v>帮助学生理解卖方付款底线。</x:v>
      </x:c>
      <x:c r="H30" s="46" t="str">
        <x:v>课程组国际结算章节</x:v>
      </x:c>
      <x:c r="I30" s="46" t="str">
        <x:v>必学</x:v>
      </x:c>
      <x:c r="J30" s="46" t="str">
        <x:v>需要时</x:v>
      </x:c>
      <x:c r="K30" s="50" t="str">
        <x:f>IF(AND(A30&lt;&gt;"",C30&lt;&gt;"",D30&lt;&gt;"",E30&lt;&gt;"",F30&lt;&gt;"",G30&lt;&gt;""),"完整","请补充")</x:f>
        <x:v>完整</x:v>
      </x:c>
    </x:row>
    <x:row r="31" ht="70" customHeight="1">
      <x:c r="A31" s="46" t="str">
        <x:v>CASE-007</x:v>
      </x:c>
      <x:c r="B31" s="46" t="str">
        <x:v>S1</x:v>
      </x:c>
      <x:c r="C31" s="46" t="str">
        <x:v>K2</x:v>
      </x:c>
      <x:c r="D31" s="46" t="str">
        <x:v>业务流程</x:v>
      </x:c>
      <x:c r="E31" s="46" t="str">
        <x:v>从立场到利益的提问</x:v>
      </x:c>
      <x:c r="F31" s="46" t="str">
        <x:v>用为什么、在什么条件下等问题识别对方约束和优先级。</x:v>
      </x:c>
      <x:c r="G31" s="46" t="str">
        <x:v>支持学生跳出付款方式之争。</x:v>
      </x:c>
      <x:c r="H31" s="46" t="str">
        <x:v>课程组利益探询卡</x:v>
      </x:c>
      <x:c r="I31" s="46" t="str">
        <x:v>必学</x:v>
      </x:c>
      <x:c r="J31" s="46" t="str">
        <x:v>需要时</x:v>
      </x:c>
      <x:c r="K31" s="50" t="str">
        <x:f>IF(AND(A31&lt;&gt;"",C31&lt;&gt;"",D31&lt;&gt;"",E31&lt;&gt;"",F31&lt;&gt;"",G31&lt;&gt;""),"完整","请补充")</x:f>
        <x:v>完整</x:v>
      </x:c>
    </x:row>
    <x:row r="32" ht="70" customHeight="1">
      <x:c r="A32" s="46" t="str">
        <x:v>CASE-007</x:v>
      </x:c>
      <x:c r="B32" s="46" t="str">
        <x:v>S2</x:v>
      </x:c>
      <x:c r="C32" s="46" t="str">
        <x:v>K3</x:v>
      </x:c>
      <x:c r="D32" s="46" t="str">
        <x:v>术语</x:v>
      </x:c>
      <x:c r="E32" s="46" t="str">
        <x:v>多议题同步报价 MESO</x:v>
      </x:c>
      <x:c r="F32" s="46" t="str">
        <x:v>同时提出多个等值方案可测试对方偏好并促进交换。</x:v>
      </x:c>
      <x:c r="G32" s="46" t="str">
        <x:v>帮助学生构造付款与交期组合。</x:v>
      </x:c>
      <x:c r="H32" s="46" t="str">
        <x:v>课程组多方案谈判材料</x:v>
      </x:c>
      <x:c r="I32" s="46" t="str">
        <x:v>必学</x:v>
      </x:c>
      <x:c r="J32" s="46" t="str">
        <x:v>需要时</x:v>
      </x:c>
      <x:c r="K32" s="50" t="str">
        <x:f>IF(AND(A32&lt;&gt;"",C32&lt;&gt;"",D32&lt;&gt;"",E32&lt;&gt;"",F32&lt;&gt;"",G32&lt;&gt;""),"完整","请补充")</x:f>
        <x:v>完整</x:v>
      </x:c>
    </x:row>
    <x:row r="33" ht="70" customHeight="1">
      <x:c r="A33" s="46" t="str">
        <x:v>CASE-007</x:v>
      </x:c>
      <x:c r="B33" s="46" t="str">
        <x:v>S2</x:v>
      </x:c>
      <x:c r="C33" s="46" t="str">
        <x:v>K4</x:v>
      </x:c>
      <x:c r="D33" s="46" t="str">
        <x:v>语言表达</x:v>
      </x:c>
      <x:c r="E33" s="46" t="str">
        <x:v>条件交换句型</x:v>
      </x:c>
      <x:c r="F33" s="46" t="str">
        <x:v>用 if / provided that 明确让步与回报的绑定关系。</x:v>
      </x:c>
      <x:c r="G33" s="46" t="str">
        <x:v>避免形成无条件承诺。</x:v>
      </x:c>
      <x:c r="H33" s="46" t="str">
        <x:v>课程组条件交换句框</x:v>
      </x:c>
      <x:c r="I33" s="46" t="str">
        <x:v>必学</x:v>
      </x:c>
      <x:c r="J33" s="46" t="str">
        <x:v>训练前</x:v>
      </x:c>
      <x:c r="K33" s="50" t="str">
        <x:f>IF(AND(A33&lt;&gt;"",C33&lt;&gt;"",D33&lt;&gt;"",E33&lt;&gt;"",F33&lt;&gt;"",G33&lt;&gt;""),"完整","请补充")</x:f>
        <x:v>完整</x:v>
      </x:c>
    </x:row>
    <x:row r="34" ht="70" customHeight="1">
      <x:c r="A34" s="46" t="str">
        <x:v>CASE-008</x:v>
      </x:c>
      <x:c r="B34" s="46" t="str">
        <x:v>S1</x:v>
      </x:c>
      <x:c r="C34" s="46" t="str">
        <x:v>K1</x:v>
      </x:c>
      <x:c r="D34" s="46" t="str">
        <x:v>术语</x:v>
      </x:c>
      <x:c r="E34" s="46" t="str">
        <x:v>有条件接受与反建议</x:v>
      </x:c>
      <x:c r="F34" s="46" t="str">
        <x:v>附加实质条件的接受通常是反建议，只有无条件一致才形成最终接受。</x:v>
      </x:c>
      <x:c r="G34" s="46" t="str">
        <x:v>帮助学生准确表达成交阶段的法律效果。</x:v>
      </x:c>
      <x:c r="H34" s="46" t="str">
        <x:v>CISG 第19条；课程组解释</x:v>
      </x:c>
      <x:c r="I34" s="46" t="str">
        <x:v>必学</x:v>
      </x:c>
      <x:c r="J34" s="46" t="str">
        <x:v>需要时</x:v>
      </x:c>
      <x:c r="K34" s="50" t="str">
        <x:f>IF(AND(A34&lt;&gt;"",C34&lt;&gt;"",D34&lt;&gt;"",E34&lt;&gt;"",F34&lt;&gt;"",G34&lt;&gt;""),"完整","请补充")</x:f>
        <x:v>完整</x:v>
      </x:c>
    </x:row>
    <x:row r="35" ht="70" customHeight="1">
      <x:c r="A35" s="46" t="str">
        <x:v>CASE-008</x:v>
      </x:c>
      <x:c r="B35" s="46" t="str">
        <x:v>S1</x:v>
      </x:c>
      <x:c r="C35" s="46" t="str">
        <x:v>K2</x:v>
      </x:c>
      <x:c r="D35" s="46" t="str">
        <x:v>业务流程</x:v>
      </x:c>
      <x:c r="E35" s="46" t="str">
        <x:v>终局边际价值判断</x:v>
      </x:c>
      <x:c r="F35" s="46" t="str">
        <x:v>比较剩余可争取价值、时间、失败概率和关系成本后决定是否收口。</x:v>
      </x:c>
      <x:c r="G35" s="46" t="str">
        <x:v>防止学生为了赢每一点而失去整体交易。</x:v>
      </x:c>
      <x:c r="H35" s="46" t="str">
        <x:v>课程组终局决策卡</x:v>
      </x:c>
      <x:c r="I35" s="46" t="str">
        <x:v>必学</x:v>
      </x:c>
      <x:c r="J35" s="46" t="str">
        <x:v>需要时</x:v>
      </x:c>
      <x:c r="K35" s="50" t="str">
        <x:f>IF(AND(A35&lt;&gt;"",C35&lt;&gt;"",D35&lt;&gt;"",E35&lt;&gt;"",F35&lt;&gt;"",G35&lt;&gt;""),"完整","请补充")</x:f>
        <x:v>完整</x:v>
      </x:c>
    </x:row>
    <x:row r="36" ht="70" customHeight="1">
      <x:c r="A36" s="46" t="str">
        <x:v>CASE-008</x:v>
      </x:c>
      <x:c r="B36" s="46" t="str">
        <x:v>S2</x:v>
      </x:c>
      <x:c r="C36" s="46" t="str">
        <x:v>K3</x:v>
      </x:c>
      <x:c r="D36" s="46" t="str">
        <x:v>产品与市场</x:v>
      </x:c>
      <x:c r="E36" s="46" t="str">
        <x:v>质保与备件的可量化价值</x:v>
      </x:c>
      <x:c r="F36" s="46" t="str">
        <x:v>质保期限、免费备件比例和响应时限可替代部分价格让步。</x:v>
      </x:c>
      <x:c r="G36" s="46" t="str">
        <x:v>帮助学生把做大蛋糕变成具体条款。</x:v>
      </x:c>
      <x:c r="H36" s="46" t="str">
        <x:v>课程组售后条款样例</x:v>
      </x:c>
      <x:c r="I36" s="46" t="str">
        <x:v>必学</x:v>
      </x:c>
      <x:c r="J36" s="46" t="str">
        <x:v>需要时</x:v>
      </x:c>
      <x:c r="K36" s="50" t="str">
        <x:f>IF(AND(A36&lt;&gt;"",C36&lt;&gt;"",D36&lt;&gt;"",E36&lt;&gt;"",F36&lt;&gt;"",G36&lt;&gt;""),"完整","请补充")</x:f>
        <x:v>完整</x:v>
      </x:c>
    </x:row>
    <x:row r="37" ht="70" customHeight="1">
      <x:c r="A37" s="46" t="str">
        <x:v>CASE-008</x:v>
      </x:c>
      <x:c r="B37" s="46" t="str">
        <x:v>S2</x:v>
      </x:c>
      <x:c r="C37" s="46" t="str">
        <x:v>K4</x:v>
      </x:c>
      <x:c r="D37" s="46" t="str">
        <x:v>语言表达</x:v>
      </x:c>
      <x:c r="E37" s="46" t="str">
        <x:v>成交总结与确认表达</x:v>
      </x:c>
      <x:c r="F37" s="46" t="str">
        <x:v>用 numbered summary 和 please confirm 形成共同条款记录。</x:v>
      </x:c>
      <x:c r="G37" s="46" t="str">
        <x:v>支持清晰收束并进入书面确认。</x:v>
      </x:c>
      <x:c r="H37" s="46" t="str">
        <x:v>课程组成交句框</x:v>
      </x:c>
      <x:c r="I37" s="46" t="str">
        <x:v>必学</x:v>
      </x:c>
      <x:c r="J37" s="46" t="str">
        <x:v>训练后</x:v>
      </x:c>
      <x:c r="K37" s="50" t="str">
        <x:f>IF(AND(A37&lt;&gt;"",C37&lt;&gt;"",D37&lt;&gt;"",E37&lt;&gt;"",F37&lt;&gt;"",G37&lt;&gt;""),"完整","请补充")</x:f>
        <x:v>完整</x:v>
      </x:c>
    </x:row>
    <x:row r="38" ht="70" customHeight="1">
      <x:c r="A38" s="46" t="str">
        <x:v>CASE-009</x:v>
      </x:c>
      <x:c r="B38" s="46" t="str">
        <x:v>S1</x:v>
      </x:c>
      <x:c r="C38" s="46" t="str">
        <x:v>K1</x:v>
      </x:c>
      <x:c r="D38" s="46" t="str">
        <x:v>规则</x:v>
      </x:c>
      <x:c r="E38" s="46" t="str">
        <x:v>有效接受的无条件一致性</x:v>
      </x:c>
      <x:c r="F38" s="46" t="str">
        <x:v>有效接受需对实质条款表示无保留同意，新增重大条件可能构成还盘。</x:v>
      </x:c>
      <x:c r="G38" s="46" t="str">
        <x:v>帮助学生写出法律效果一致的接受函。</x:v>
      </x:c>
      <x:c r="H38" s="46" t="str">
        <x:v>CISG 第18—19条</x:v>
      </x:c>
      <x:c r="I38" s="46" t="str">
        <x:v>必学</x:v>
      </x:c>
      <x:c r="J38" s="46" t="str">
        <x:v>需要时</x:v>
      </x:c>
      <x:c r="K38" s="50" t="str">
        <x:f>IF(AND(A38&lt;&gt;"",C38&lt;&gt;"",D38&lt;&gt;"",E38&lt;&gt;"",F38&lt;&gt;"",G38&lt;&gt;""),"完整","请补充")</x:f>
        <x:v>完整</x:v>
      </x:c>
    </x:row>
    <x:row r="39" ht="70" customHeight="1">
      <x:c r="A39" s="46" t="str">
        <x:v>CASE-009</x:v>
      </x:c>
      <x:c r="B39" s="46" t="str">
        <x:v>S1</x:v>
      </x:c>
      <x:c r="C39" s="46" t="str">
        <x:v>K2</x:v>
      </x:c>
      <x:c r="D39" s="46" t="str">
        <x:v>单证</x:v>
      </x:c>
      <x:c r="E39" s="46" t="str">
        <x:v>销售确认书核心字段</x:v>
      </x:c>
      <x:c r="F39" s="46" t="str">
        <x:v>销售确认书应载明双方、货物、价格、付款、装运、保险、检验和争议条款。</x:v>
      </x:c>
      <x:c r="G39" s="46" t="str">
        <x:v>支持学生系统核对正式文本。</x:v>
      </x:c>
      <x:c r="H39" s="46" t="str">
        <x:v>课程组 Sales Confirmation 样本</x:v>
      </x:c>
      <x:c r="I39" s="46" t="str">
        <x:v>必学</x:v>
      </x:c>
      <x:c r="J39" s="46" t="str">
        <x:v>需要时</x:v>
      </x:c>
      <x:c r="K39" s="50" t="str">
        <x:f>IF(AND(A39&lt;&gt;"",C39&lt;&gt;"",D39&lt;&gt;"",E39&lt;&gt;"",F39&lt;&gt;"",G39&lt;&gt;""),"完整","请补充")</x:f>
        <x:v>完整</x:v>
      </x:c>
    </x:row>
    <x:row r="40" ht="70" customHeight="1">
      <x:c r="A40" s="46" t="str">
        <x:v>CASE-009</x:v>
      </x:c>
      <x:c r="B40" s="46" t="str">
        <x:v>S2</x:v>
      </x:c>
      <x:c r="C40" s="46" t="str">
        <x:v>K3</x:v>
      </x:c>
      <x:c r="D40" s="46" t="str">
        <x:v>业务流程</x:v>
      </x:c>
      <x:c r="E40" s="46" t="str">
        <x:v>成交条款对照表</x:v>
      </x:c>
      <x:c r="F40" s="46" t="str">
        <x:v>把谈判结论与合同草稿逐项配对，记录一致、偏差和待确认。</x:v>
      </x:c>
      <x:c r="G40" s="46" t="str">
        <x:v>防止谈判成果在制单中丢失。</x:v>
      </x:c>
      <x:c r="H40" s="46" t="str">
        <x:v>课程组成交对照表</x:v>
      </x:c>
      <x:c r="I40" s="46" t="str">
        <x:v>必学</x:v>
      </x:c>
      <x:c r="J40" s="46" t="str">
        <x:v>需要时</x:v>
      </x:c>
      <x:c r="K40" s="50" t="str">
        <x:f>IF(AND(A40&lt;&gt;"",C40&lt;&gt;"",D40&lt;&gt;"",E40&lt;&gt;"",F40&lt;&gt;"",G40&lt;&gt;""),"完整","请补充")</x:f>
        <x:v>完整</x:v>
      </x:c>
    </x:row>
    <x:row r="41" ht="70" customHeight="1">
      <x:c r="A41" s="46" t="str">
        <x:v>CASE-009</x:v>
      </x:c>
      <x:c r="B41" s="46" t="str">
        <x:v>S2</x:v>
      </x:c>
      <x:c r="C41" s="46" t="str">
        <x:v>K4</x:v>
      </x:c>
      <x:c r="D41" s="46" t="str">
        <x:v>语言表达</x:v>
      </x:c>
      <x:c r="E41" s="46" t="str">
        <x:v>接受函与制单请求表达</x:v>
      </x:c>
      <x:c r="F41" s="46" t="str">
        <x:v>使用 confirm、without modification 和 prepare the Sales Confirmation 准确推动下一步。</x:v>
      </x:c>
      <x:c r="G41" s="46" t="str">
        <x:v>帮助学生避免含糊接受。</x:v>
      </x:c>
      <x:c r="H41" s="46" t="str">
        <x:v>课程组接受函句框</x:v>
      </x:c>
      <x:c r="I41" s="46" t="str">
        <x:v>选学</x:v>
      </x:c>
      <x:c r="J41" s="46" t="str">
        <x:v>需要时</x:v>
      </x:c>
      <x:c r="K41" s="50" t="str">
        <x:f>IF(AND(A41&lt;&gt;"",C41&lt;&gt;"",D41&lt;&gt;"",E41&lt;&gt;"",F41&lt;&gt;"",G41&lt;&gt;""),"完整","请补充")</x:f>
        <x:v>完整</x:v>
      </x:c>
    </x:row>
    <x:row r="42" ht="70" customHeight="1">
      <x:c r="A42" s="46" t="str">
        <x:v>CASE-010</x:v>
      </x:c>
      <x:c r="B42" s="46" t="str">
        <x:v>S1</x:v>
      </x:c>
      <x:c r="C42" s="46" t="str">
        <x:v>K1</x:v>
      </x:c>
      <x:c r="D42" s="46" t="str">
        <x:v>业务流程</x:v>
      </x:c>
      <x:c r="E42" s="46" t="str">
        <x:v>信用证开立参与方与流程</x:v>
      </x:c>
      <x:c r="F42" s="46" t="str">
        <x:v>申请人、开证行、通知行和受益人承担不同操作与沟通责任。</x:v>
      </x:c>
      <x:c r="G42" s="46" t="str">
        <x:v>帮助学生明确催办对象和交付物。</x:v>
      </x:c>
      <x:c r="H42" s="46" t="str">
        <x:v>课程组信用证流程图</x:v>
      </x:c>
      <x:c r="I42" s="46" t="str">
        <x:v>必学</x:v>
      </x:c>
      <x:c r="J42" s="46" t="str">
        <x:v>需要时</x:v>
      </x:c>
      <x:c r="K42" s="50" t="str">
        <x:f>IF(AND(A42&lt;&gt;"",C42&lt;&gt;"",D42&lt;&gt;"",E42&lt;&gt;"",F42&lt;&gt;"",G42&lt;&gt;""),"完整","请补充")</x:f>
        <x:v>完整</x:v>
      </x:c>
    </x:row>
    <x:row r="43" ht="70" customHeight="1">
      <x:c r="A43" s="46" t="str">
        <x:v>CASE-010</x:v>
      </x:c>
      <x:c r="B43" s="46" t="str">
        <x:v>S1</x:v>
      </x:c>
      <x:c r="C43" s="46" t="str">
        <x:v>K2</x:v>
      </x:c>
      <x:c r="D43" s="46" t="str">
        <x:v>术语</x:v>
      </x:c>
      <x:c r="E43" s="46" t="str">
        <x:v>交期自收证起算</x:v>
      </x:c>
      <x:c r="F43" s="46" t="str">
        <x:v>合同若约定 shipment within 45 days after receipt of L/C，收证时间直接决定最迟装运。</x:v>
      </x:c>
      <x:c r="G43" s="46" t="str">
        <x:v>支持学生解释开证延迟的后果。</x:v>
      </x:c>
      <x:c r="H43" s="46" t="str">
        <x:v>销售确认书条款示例</x:v>
      </x:c>
      <x:c r="I43" s="46" t="str">
        <x:v>必学</x:v>
      </x:c>
      <x:c r="J43" s="46" t="str">
        <x:v>需要时</x:v>
      </x:c>
      <x:c r="K43" s="50" t="str">
        <x:f>IF(AND(A43&lt;&gt;"",C43&lt;&gt;"",D43&lt;&gt;"",E43&lt;&gt;"",F43&lt;&gt;"",G43&lt;&gt;""),"完整","请补充")</x:f>
        <x:v>完整</x:v>
      </x:c>
    </x:row>
    <x:row r="44" ht="70" customHeight="1">
      <x:c r="A44" s="46" t="str">
        <x:v>CASE-010</x:v>
      </x:c>
      <x:c r="B44" s="46" t="str">
        <x:v>S2</x:v>
      </x:c>
      <x:c r="C44" s="46" t="str">
        <x:v>K3</x:v>
      </x:c>
      <x:c r="D44" s="46" t="str">
        <x:v>单证</x:v>
      </x:c>
      <x:c r="E44" s="46" t="str">
        <x:v>信用证申请书核对清单</x:v>
      </x:c>
      <x:c r="F44" s="46" t="str">
        <x:v>开证前集中核对金额、期限、装运和单据要求。</x:v>
      </x:c>
      <x:c r="G44" s="46" t="str">
        <x:v>减少银行草稿与合同偏差。</x:v>
      </x:c>
      <x:c r="H44" s="46" t="str">
        <x:v>课程组 L/C application checklist</x:v>
      </x:c>
      <x:c r="I44" s="46" t="str">
        <x:v>必学</x:v>
      </x:c>
      <x:c r="J44" s="46" t="str">
        <x:v>需要时</x:v>
      </x:c>
      <x:c r="K44" s="50" t="str">
        <x:f>IF(AND(A44&lt;&gt;"",C44&lt;&gt;"",D44&lt;&gt;"",E44&lt;&gt;"",F44&lt;&gt;"",G44&lt;&gt;""),"完整","请补充")</x:f>
        <x:v>完整</x:v>
      </x:c>
    </x:row>
    <x:row r="45" ht="70" customHeight="1">
      <x:c r="A45" s="46" t="str">
        <x:v>CASE-010</x:v>
      </x:c>
      <x:c r="B45" s="46" t="str">
        <x:v>S2</x:v>
      </x:c>
      <x:c r="C45" s="46" t="str">
        <x:v>K4</x:v>
      </x:c>
      <x:c r="D45" s="46" t="str">
        <x:v>语言表达</x:v>
      </x:c>
      <x:c r="E45" s="46" t="str">
        <x:v>催开信用证的责任化表达</x:v>
      </x:c>
      <x:c r="F45" s="46" t="str">
        <x:v>以事项、责任人、日期和下一步组成可执行提醒。</x:v>
      </x:c>
      <x:c r="G45" s="46" t="str">
        <x:v>避免只有情绪性催促。</x:v>
      </x:c>
      <x:c r="H45" s="46" t="str">
        <x:v>课程组催开证邮件句框</x:v>
      </x:c>
      <x:c r="I45" s="46" t="str">
        <x:v>选学</x:v>
      </x:c>
      <x:c r="J45" s="46" t="str">
        <x:v>需要时</x:v>
      </x:c>
      <x:c r="K45" s="50" t="str">
        <x:f>IF(AND(A45&lt;&gt;"",C45&lt;&gt;"",D45&lt;&gt;"",E45&lt;&gt;"",F45&lt;&gt;"",G45&lt;&gt;""),"完整","请补充")</x:f>
        <x:v>完整</x:v>
      </x:c>
    </x:row>
    <x:row r="46" ht="70" customHeight="1">
      <x:c r="A46" s="46" t="str">
        <x:v>CASE-011</x:v>
      </x:c>
      <x:c r="B46" s="46" t="str">
        <x:v>S1</x:v>
      </x:c>
      <x:c r="C46" s="46" t="str">
        <x:v>K1</x:v>
      </x:c>
      <x:c r="D46" s="46" t="str">
        <x:v>规则</x:v>
      </x:c>
      <x:c r="E46" s="46" t="str">
        <x:v>包装条款的可验收性</x:v>
      </x:c>
      <x:c r="F46" s="46" t="str">
        <x:v>包装材料、结构、每箱数量、防护目标和测试方式应能被双方核验。</x:v>
      </x:c>
      <x:c r="G46" s="46" t="str">
        <x:v>帮助学生把笼统要求改写为操作条款。</x:v>
      </x:c>
      <x:c r="H46" s="46" t="str">
        <x:v>课程组包装条款样例</x:v>
      </x:c>
      <x:c r="I46" s="46" t="str">
        <x:v>必学</x:v>
      </x:c>
      <x:c r="J46" s="46" t="str">
        <x:v>需要时</x:v>
      </x:c>
      <x:c r="K46" s="50" t="str">
        <x:f>IF(AND(A46&lt;&gt;"",C46&lt;&gt;"",D46&lt;&gt;"",E46&lt;&gt;"",F46&lt;&gt;"",G46&lt;&gt;""),"完整","请补充")</x:f>
        <x:v>完整</x:v>
      </x:c>
    </x:row>
    <x:row r="47" ht="70" customHeight="1">
      <x:c r="A47" s="46" t="str">
        <x:v>CASE-011</x:v>
      </x:c>
      <x:c r="B47" s="46" t="str">
        <x:v>S1</x:v>
      </x:c>
      <x:c r="C47" s="46" t="str">
        <x:v>K2</x:v>
      </x:c>
      <x:c r="D47" s="46" t="str">
        <x:v>产品与市场</x:v>
      </x:c>
      <x:c r="E47" s="46" t="str">
        <x:v>精密电子防潮防静电防护</x:v>
      </x:c>
      <x:c r="F47" s="46" t="str">
        <x:v>防静电袋、干燥剂、湿度指示和缓冲共同控制海运环境风险。</x:v>
      </x:c>
      <x:c r="G47" s="46" t="str">
        <x:v>为包装选择提供产品风险依据。</x:v>
      </x:c>
      <x:c r="H47" s="46" t="str">
        <x:v>课程组 LED 运输风险卡</x:v>
      </x:c>
      <x:c r="I47" s="46" t="str">
        <x:v>必学</x:v>
      </x:c>
      <x:c r="J47" s="46" t="str">
        <x:v>需要时</x:v>
      </x:c>
      <x:c r="K47" s="50" t="str">
        <x:f>IF(AND(A47&lt;&gt;"",C47&lt;&gt;"",D47&lt;&gt;"",E47&lt;&gt;"",F47&lt;&gt;"",G47&lt;&gt;""),"完整","请补充")</x:f>
        <x:v>完整</x:v>
      </x:c>
    </x:row>
    <x:row r="48" ht="70" customHeight="1">
      <x:c r="A48" s="46" t="str">
        <x:v>CASE-011</x:v>
      </x:c>
      <x:c r="B48" s="46" t="str">
        <x:v>S2</x:v>
      </x:c>
      <x:c r="C48" s="46" t="str">
        <x:v>K3</x:v>
      </x:c>
      <x:c r="D48" s="46" t="str">
        <x:v>单证</x:v>
      </x:c>
      <x:c r="E48" s="46" t="str">
        <x:v>运输唛头字段规范</x:v>
      </x:c>
      <x:c r="F48" s="46" t="str">
        <x:v>主唛、侧唛和操作标志承担识别、计数和装卸提示功能。</x:v>
      </x:c>
      <x:c r="G48" s="46" t="str">
        <x:v>支持学生设计完整唛头。</x:v>
      </x:c>
      <x:c r="H48" s="46" t="str">
        <x:v>课程组 Shipping Mark 样例</x:v>
      </x:c>
      <x:c r="I48" s="46" t="str">
        <x:v>必学</x:v>
      </x:c>
      <x:c r="J48" s="46" t="str">
        <x:v>需要时</x:v>
      </x:c>
      <x:c r="K48" s="50" t="str">
        <x:f>IF(AND(A48&lt;&gt;"",C48&lt;&gt;"",D48&lt;&gt;"",E48&lt;&gt;"",F48&lt;&gt;"",G48&lt;&gt;""),"完整","请补充")</x:f>
        <x:v>完整</x:v>
      </x:c>
    </x:row>
    <x:row r="49" ht="70" customHeight="1">
      <x:c r="A49" s="46" t="str">
        <x:v>CASE-011</x:v>
      </x:c>
      <x:c r="B49" s="46" t="str">
        <x:v>S2</x:v>
      </x:c>
      <x:c r="C49" s="46" t="str">
        <x:v>K4</x:v>
      </x:c>
      <x:c r="D49" s="46" t="str">
        <x:v>规则</x:v>
      </x:c>
      <x:c r="E49" s="46" t="str">
        <x:v>木质包装 ISPM 15 要求</x:v>
      </x:c>
      <x:c r="F49" s="46" t="str">
        <x:v>使用实木包装时通常需符合检疫处理和标识要求。</x:v>
      </x:c>
      <x:c r="G49" s="46" t="str">
        <x:v>帮助学生评估木箱方案的合规与成本。</x:v>
      </x:c>
      <x:c r="H49" s="46" t="str">
        <x:v>IPPC ISPM 15</x:v>
      </x:c>
      <x:c r="I49" s="46" t="str">
        <x:v>拓展</x:v>
      </x:c>
      <x:c r="J49" s="46" t="str">
        <x:v>需要时</x:v>
      </x:c>
      <x:c r="K49" s="50" t="str">
        <x:f>IF(AND(A49&lt;&gt;"",C49&lt;&gt;"",D49&lt;&gt;"",E49&lt;&gt;"",F49&lt;&gt;"",G49&lt;&gt;""),"完整","请补充")</x:f>
        <x:v>完整</x:v>
      </x:c>
    </x:row>
    <x:row r="50" ht="70" customHeight="1">
      <x:c r="A50" s="46" t="str">
        <x:v>CASE-012</x:v>
      </x:c>
      <x:c r="B50" s="46" t="str">
        <x:v>S1</x:v>
      </x:c>
      <x:c r="C50" s="46" t="str">
        <x:v>K1</x:v>
      </x:c>
      <x:c r="D50" s="46" t="str">
        <x:v>规则</x:v>
      </x:c>
      <x:c r="E50" s="46" t="str">
        <x:v>UCP 600 分批装运规则</x:v>
      </x:c>
      <x:c r="F50" s="46" t="str">
        <x:v>信用证未禁止时，分批装运通常允许；实际安排应与证内文本一致。</x:v>
      </x:c>
      <x:c r="G50" s="46" t="str">
        <x:v>支持学生识别默认规则并要求明确。</x:v>
      </x:c>
      <x:c r="H50" s="46" t="str">
        <x:v>UCP 600 第31条</x:v>
      </x:c>
      <x:c r="I50" s="46" t="str">
        <x:v>必学</x:v>
      </x:c>
      <x:c r="J50" s="46" t="str">
        <x:v>需要时</x:v>
      </x:c>
      <x:c r="K50" s="50" t="str">
        <x:f>IF(AND(A50&lt;&gt;"",C50&lt;&gt;"",D50&lt;&gt;"",E50&lt;&gt;"",F50&lt;&gt;"",G50&lt;&gt;""),"完整","请补充")</x:f>
        <x:v>完整</x:v>
      </x:c>
    </x:row>
    <x:row r="51" ht="70" customHeight="1">
      <x:c r="A51" s="46" t="str">
        <x:v>CASE-012</x:v>
      </x:c>
      <x:c r="B51" s="46" t="str">
        <x:v>S1</x:v>
      </x:c>
      <x:c r="C51" s="46" t="str">
        <x:v>K2</x:v>
      </x:c>
      <x:c r="D51" s="46" t="str">
        <x:v>业务流程</x:v>
      </x:c>
      <x:c r="E51" s="46" t="str">
        <x:v>分批装运的项目影响评估</x:v>
      </x:c>
      <x:c r="F51" s="46" t="str">
        <x:v>需比较安装完整性、清关成本、仓储和现金流影响。</x:v>
      </x:c>
      <x:c r="G51" s="46" t="str">
        <x:v>帮助学生基于业务而非偏好作决定。</x:v>
      </x:c>
      <x:c r="H51" s="46" t="str">
        <x:v>课程组物流决策表</x:v>
      </x:c>
      <x:c r="I51" s="46" t="str">
        <x:v>必学</x:v>
      </x:c>
      <x:c r="J51" s="46" t="str">
        <x:v>需要时</x:v>
      </x:c>
      <x:c r="K51" s="50" t="str">
        <x:f>IF(AND(A51&lt;&gt;"",C51&lt;&gt;"",D51&lt;&gt;"",E51&lt;&gt;"",F51&lt;&gt;"",G51&lt;&gt;""),"完整","请补充")</x:f>
        <x:v>完整</x:v>
      </x:c>
    </x:row>
    <x:row r="52" ht="70" customHeight="1">
      <x:c r="A52" s="46" t="str">
        <x:v>CASE-012</x:v>
      </x:c>
      <x:c r="B52" s="46" t="str">
        <x:v>S2</x:v>
      </x:c>
      <x:c r="C52" s="46" t="str">
        <x:v>K3</x:v>
      </x:c>
      <x:c r="D52" s="46" t="str">
        <x:v>规则</x:v>
      </x:c>
      <x:c r="E52" s="46" t="str">
        <x:v>信用证项下转船判断</x:v>
      </x:c>
      <x:c r="F52" s="46" t="str">
        <x:v>是否允许转船与运输方式、单据类型和信用证条款相关。</x:v>
      </x:c>
      <x:c r="G52" s="46" t="str">
        <x:v>帮助学生同步商业同意与单证要求。</x:v>
      </x:c>
      <x:c r="H52" s="46" t="str">
        <x:v>UCP 600 运输单据条款</x:v>
      </x:c>
      <x:c r="I52" s="46" t="str">
        <x:v>必学</x:v>
      </x:c>
      <x:c r="J52" s="46" t="str">
        <x:v>需要时</x:v>
      </x:c>
      <x:c r="K52" s="50" t="str">
        <x:f>IF(AND(A52&lt;&gt;"",C52&lt;&gt;"",D52&lt;&gt;"",E52&lt;&gt;"",F52&lt;&gt;"",G52&lt;&gt;""),"完整","请补充")</x:f>
        <x:v>完整</x:v>
      </x:c>
    </x:row>
    <x:row r="53" ht="70" customHeight="1">
      <x:c r="A53" s="46" t="str">
        <x:v>CASE-012</x:v>
      </x:c>
      <x:c r="B53" s="46" t="str">
        <x:v>S2</x:v>
      </x:c>
      <x:c r="C53" s="46" t="str">
        <x:v>K4</x:v>
      </x:c>
      <x:c r="D53" s="46" t="str">
        <x:v>单证</x:v>
      </x:c>
      <x:c r="E53" s="46" t="str">
        <x:v>装运通知关键字段</x:v>
      </x:c>
      <x:c r="F53" s="46" t="str">
        <x:v>通知应含船名航次、提单号、数量、日期、预计到港和中转信息。</x:v>
      </x:c>
      <x:c r="G53" s="46" t="str">
        <x:v>支持买方安排接货并监控转船。</x:v>
      </x:c>
      <x:c r="H53" s="46" t="str">
        <x:v>课程组 Shipping Advice 样例</x:v>
      </x:c>
      <x:c r="I53" s="46" t="str">
        <x:v>必学</x:v>
      </x:c>
      <x:c r="J53" s="46" t="str">
        <x:v>需要时</x:v>
      </x:c>
      <x:c r="K53" s="50" t="str">
        <x:f>IF(AND(A53&lt;&gt;"",C53&lt;&gt;"",D53&lt;&gt;"",E53&lt;&gt;"",F53&lt;&gt;"",G53&lt;&gt;""),"完整","请补充")</x:f>
        <x:v>完整</x:v>
      </x:c>
    </x:row>
    <x:row r="54" ht="70" customHeight="1">
      <x:c r="A54" s="46" t="str">
        <x:v>CASE-013</x:v>
      </x:c>
      <x:c r="B54" s="46" t="str">
        <x:v>S1</x:v>
      </x:c>
      <x:c r="C54" s="46" t="str">
        <x:v>K1</x:v>
      </x:c>
      <x:c r="D54" s="46" t="str">
        <x:v>规则</x:v>
      </x:c>
      <x:c r="E54" s="46" t="str">
        <x:v>UCP 600 单证独立与表面相符</x:v>
      </x:c>
      <x:c r="F54" s="46" t="str">
        <x:v>银行处理单据而非货物，按信用证条款和适用规则审核表面相符。</x:v>
      </x:c>
      <x:c r="G54" s="46" t="str">
        <x:v>帮助学生判断哪些字段直接影响付款。</x:v>
      </x:c>
      <x:c r="H54" s="46" t="str">
        <x:v>UCP 600 第4、5、14条</x:v>
      </x:c>
      <x:c r="I54" s="46" t="str">
        <x:v>必学</x:v>
      </x:c>
      <x:c r="J54" s="46" t="str">
        <x:v>需要时</x:v>
      </x:c>
      <x:c r="K54" s="50" t="str">
        <x:f>IF(AND(A54&lt;&gt;"",C54&lt;&gt;"",D54&lt;&gt;"",E54&lt;&gt;"",F54&lt;&gt;"",G54&lt;&gt;""),"完整","请补充")</x:f>
        <x:v>完整</x:v>
      </x:c>
    </x:row>
    <x:row r="55" ht="70" customHeight="1">
      <x:c r="A55" s="46" t="str">
        <x:v>CASE-013</x:v>
      </x:c>
      <x:c r="B55" s="46" t="str">
        <x:v>S1</x:v>
      </x:c>
      <x:c r="C55" s="46" t="str">
        <x:v>K2</x:v>
      </x:c>
      <x:c r="D55" s="46" t="str">
        <x:v>单证</x:v>
      </x:c>
      <x:c r="E55" s="46" t="str">
        <x:v>信用证系统审核清单</x:v>
      </x:c>
      <x:c r="F55" s="46" t="str">
        <x:v>按当事人、金额、期限、装运、单据、费用和特殊条件逐项审核。</x:v>
      </x:c>
      <x:c r="G55" s="46" t="str">
        <x:v>提供稳定的审证顺序。</x:v>
      </x:c>
      <x:c r="H55" s="46" t="str">
        <x:v>课程组信用证审核清单</x:v>
      </x:c>
      <x:c r="I55" s="46" t="str">
        <x:v>必学</x:v>
      </x:c>
      <x:c r="J55" s="46" t="str">
        <x:v>需要时</x:v>
      </x:c>
      <x:c r="K55" s="50" t="str">
        <x:f>IF(AND(A55&lt;&gt;"",C55&lt;&gt;"",D55&lt;&gt;"",E55&lt;&gt;"",F55&lt;&gt;"",G55&lt;&gt;""),"完整","请补充")</x:f>
        <x:v>完整</x:v>
      </x:c>
    </x:row>
    <x:row r="56" ht="70" customHeight="1">
      <x:c r="A56" s="46" t="str">
        <x:v>CASE-013</x:v>
      </x:c>
      <x:c r="B56" s="46" t="str">
        <x:v>S2</x:v>
      </x:c>
      <x:c r="C56" s="46" t="str">
        <x:v>K3</x:v>
      </x:c>
      <x:c r="D56" s="46" t="str">
        <x:v>业务流程</x:v>
      </x:c>
      <x:c r="E56" s="46" t="str">
        <x:v>信用证改证版本控制</x:v>
      </x:c>
      <x:c r="F56" s="46" t="str">
        <x:v>每次 amendment 应记录发起、同意、银行报文和当前生效文本。</x:v>
      </x:c>
      <x:c r="G56" s="46" t="str">
        <x:v>避免多次修改造成条款版本混乱。</x:v>
      </x:c>
      <x:c r="H56" s="46" t="str">
        <x:v>课程组改证台账</x:v>
      </x:c>
      <x:c r="I56" s="46" t="str">
        <x:v>必学</x:v>
      </x:c>
      <x:c r="J56" s="46" t="str">
        <x:v>需要时</x:v>
      </x:c>
      <x:c r="K56" s="50" t="str">
        <x:f>IF(AND(A56&lt;&gt;"",C56&lt;&gt;"",D56&lt;&gt;"",E56&lt;&gt;"",F56&lt;&gt;"",G56&lt;&gt;""),"完整","请补充")</x:f>
        <x:v>完整</x:v>
      </x:c>
    </x:row>
    <x:row r="57" ht="70" customHeight="1">
      <x:c r="A57" s="46" t="str">
        <x:v>CASE-013</x:v>
      </x:c>
      <x:c r="B57" s="46" t="str">
        <x:v>S2</x:v>
      </x:c>
      <x:c r="C57" s="46" t="str">
        <x:v>K4</x:v>
      </x:c>
      <x:c r="D57" s="46" t="str">
        <x:v>规则</x:v>
      </x:c>
      <x:c r="E57" s="46" t="str">
        <x:v>ISBP 821 单据审核实践</x:v>
      </x:c>
      <x:c r="F57" s="46" t="str">
        <x:v>ISBP 提供与 UCP 600 配套的单据审核解释与惯例。</x:v>
      </x:c>
      <x:c r="G57" s="46" t="str">
        <x:v>帮助学生提出更贴近银行实务的文本。</x:v>
      </x:c>
      <x:c r="H57" s="46" t="str">
        <x:v>ICC ISBP 821</x:v>
      </x:c>
      <x:c r="I57" s="46" t="str">
        <x:v>拓展</x:v>
      </x:c>
      <x:c r="J57" s="46" t="str">
        <x:v>需要时</x:v>
      </x:c>
      <x:c r="K57" s="50" t="str">
        <x:f>IF(AND(A57&lt;&gt;"",C57&lt;&gt;"",D57&lt;&gt;"",E57&lt;&gt;"",F57&lt;&gt;"",G57&lt;&gt;""),"完整","请补充")</x:f>
        <x:v>完整</x:v>
      </x:c>
    </x:row>
    <x:row r="58" ht="70" customHeight="1">
      <x:c r="A58" s="46" t="str">
        <x:v>CASE-014</x:v>
      </x:c>
      <x:c r="B58" s="46" t="str">
        <x:v>S1</x:v>
      </x:c>
      <x:c r="C58" s="46" t="str">
        <x:v>K1</x:v>
      </x:c>
      <x:c r="D58" s="46" t="str">
        <x:v>单证</x:v>
      </x:c>
      <x:c r="E58" s="46" t="str">
        <x:v>装运通知完整字段</x:v>
      </x:c>
      <x:c r="F58" s="46" t="str">
        <x:v>装运通知用于确认已装货、追踪运输并安排目的港操作。</x:v>
      </x:c>
      <x:c r="G58" s="46" t="str">
        <x:v>帮助学生判断卖方通知是否足够。</x:v>
      </x:c>
      <x:c r="H58" s="46" t="str">
        <x:v>课程组装运通知样本</x:v>
      </x:c>
      <x:c r="I58" s="46" t="str">
        <x:v>必学</x:v>
      </x:c>
      <x:c r="J58" s="46" t="str">
        <x:v>需要时</x:v>
      </x:c>
      <x:c r="K58" s="50" t="str">
        <x:f>IF(AND(A58&lt;&gt;"",C58&lt;&gt;"",D58&lt;&gt;"",E58&lt;&gt;"",F58&lt;&gt;"",G58&lt;&gt;""),"完整","请补充")</x:f>
        <x:v>完整</x:v>
      </x:c>
    </x:row>
    <x:row r="59" ht="70" customHeight="1">
      <x:c r="A59" s="46" t="str">
        <x:v>CASE-014</x:v>
      </x:c>
      <x:c r="B59" s="46" t="str">
        <x:v>S1</x:v>
      </x:c>
      <x:c r="C59" s="46" t="str">
        <x:v>K2</x:v>
      </x:c>
      <x:c r="D59" s="46" t="str">
        <x:v>单证</x:v>
      </x:c>
      <x:c r="E59" s="46" t="str">
        <x:v>提单商业与物权功能</x:v>
      </x:c>
      <x:c r="F59" s="46" t="str">
        <x:v>提单通常兼具收据、运输合同证明和在特定形式下的货权凭证功能。</x:v>
      </x:c>
      <x:c r="G59" s="46" t="str">
        <x:v>支持买方理解取单和提货安排。</x:v>
      </x:c>
      <x:c r="H59" s="46" t="str">
        <x:v>课程组海运提单章节</x:v>
      </x:c>
      <x:c r="I59" s="46" t="str">
        <x:v>必学</x:v>
      </x:c>
      <x:c r="J59" s="46" t="str">
        <x:v>需要时</x:v>
      </x:c>
      <x:c r="K59" s="50" t="str">
        <x:f>IF(AND(A59&lt;&gt;"",C59&lt;&gt;"",D59&lt;&gt;"",E59&lt;&gt;"",F59&lt;&gt;"",G59&lt;&gt;""),"完整","请补充")</x:f>
        <x:v>完整</x:v>
      </x:c>
    </x:row>
    <x:row r="60" ht="70" customHeight="1">
      <x:c r="A60" s="46" t="str">
        <x:v>CASE-014</x:v>
      </x:c>
      <x:c r="B60" s="46" t="str">
        <x:v>S2</x:v>
      </x:c>
      <x:c r="C60" s="46" t="str">
        <x:v>K3</x:v>
      </x:c>
      <x:c r="D60" s="46" t="str">
        <x:v>规则</x:v>
      </x:c>
      <x:c r="E60" s="46" t="str">
        <x:v>L/C 相符交单付款机制</x:v>
      </x:c>
      <x:c r="F60" s="46" t="str">
        <x:v>银行在相符交单时承担信用证项下付款责任。</x:v>
      </x:c>
      <x:c r="G60" s="46" t="str">
        <x:v>帮助学生避免把货物争议错误带入单据付款。</x:v>
      </x:c>
      <x:c r="H60" s="46" t="str">
        <x:v>UCP 600 第7、14、15条</x:v>
      </x:c>
      <x:c r="I60" s="46" t="str">
        <x:v>必学</x:v>
      </x:c>
      <x:c r="J60" s="46" t="str">
        <x:v>需要时</x:v>
      </x:c>
      <x:c r="K60" s="50" t="str">
        <x:f>IF(AND(A60&lt;&gt;"",C60&lt;&gt;"",D60&lt;&gt;"",E60&lt;&gt;"",F60&lt;&gt;"",G60&lt;&gt;""),"完整","请补充")</x:f>
        <x:v>完整</x:v>
      </x:c>
    </x:row>
    <x:row r="61" ht="70" customHeight="1">
      <x:c r="A61" s="46" t="str">
        <x:v>CASE-014</x:v>
      </x:c>
      <x:c r="B61" s="46" t="str">
        <x:v>S2</x:v>
      </x:c>
      <x:c r="C61" s="46" t="str">
        <x:v>K4</x:v>
      </x:c>
      <x:c r="D61" s="46" t="str">
        <x:v>业务流程</x:v>
      </x:c>
      <x:c r="E61" s="46" t="str">
        <x:v>到港前清关接货流程</x:v>
      </x:c>
      <x:c r="F61" s="46" t="str">
        <x:v>取单、申报、缴税、预约仓库和验收需围绕 ETA 提前安排。</x:v>
      </x:c>
      <x:c r="G61" s="46" t="str">
        <x:v>把装运通知转化为实际行动。</x:v>
      </x:c>
      <x:c r="H61" s="46" t="str">
        <x:v>课程组进口接货清单</x:v>
      </x:c>
      <x:c r="I61" s="46" t="str">
        <x:v>选学</x:v>
      </x:c>
      <x:c r="J61" s="46" t="str">
        <x:v>需要时</x:v>
      </x:c>
      <x:c r="K61" s="50" t="str">
        <x:f>IF(AND(A61&lt;&gt;"",C61&lt;&gt;"",D61&lt;&gt;"",E61&lt;&gt;"",F61&lt;&gt;"",G61&lt;&gt;""),"完整","请补充")</x:f>
        <x:v>完整</x:v>
      </x:c>
    </x:row>
    <x:row r="62" ht="70" customHeight="1">
      <x:c r="A62" s="46" t="str">
        <x:v>CASE-015</x:v>
      </x:c>
      <x:c r="B62" s="46" t="str">
        <x:v>S1</x:v>
      </x:c>
      <x:c r="C62" s="46" t="str">
        <x:v>K1</x:v>
      </x:c>
      <x:c r="D62" s="46" t="str">
        <x:v>术语</x:v>
      </x:c>
      <x:c r="E62" s="46" t="str">
        <x:v>装运港检验与到货复验</x:v>
      </x:c>
      <x:c r="F62" s="46" t="str">
        <x:v>前者确认装运时状况，后者可在约定范围内发现运输后显现或隐蔽问题。</x:v>
      </x:c>
      <x:c r="G62" s="46" t="str">
        <x:v>帮助学生设计两阶段检验边界。</x:v>
      </x:c>
      <x:c r="H62" s="46" t="str">
        <x:v>课程组检验条款章节</x:v>
      </x:c>
      <x:c r="I62" s="46" t="str">
        <x:v>必学</x:v>
      </x:c>
      <x:c r="J62" s="46" t="str">
        <x:v>需要时</x:v>
      </x:c>
      <x:c r="K62" s="50" t="str">
        <x:f>IF(AND(A62&lt;&gt;"",C62&lt;&gt;"",D62&lt;&gt;"",E62&lt;&gt;"",F62&lt;&gt;"",G62&lt;&gt;""),"完整","请补充")</x:f>
        <x:v>完整</x:v>
      </x:c>
    </x:row>
    <x:row r="63" ht="70" customHeight="1">
      <x:c r="A63" s="46" t="str">
        <x:v>CASE-015</x:v>
      </x:c>
      <x:c r="B63" s="46" t="str">
        <x:v>S1</x:v>
      </x:c>
      <x:c r="C63" s="46" t="str">
        <x:v>K2</x:v>
      </x:c>
      <x:c r="D63" s="46" t="str">
        <x:v>产品与市场</x:v>
      </x:c>
      <x:c r="E63" s="46" t="str">
        <x:v>CCIC 与 SGS 第三方检验</x:v>
      </x:c>
      <x:c r="F63" s="46" t="str">
        <x:v>独立机构可按约定标准实施检验并出具证书。</x:v>
      </x:c>
      <x:c r="G63" s="46" t="str">
        <x:v>为证据中立性和机构选择提供依据。</x:v>
      </x:c>
      <x:c r="H63" s="46" t="str">
        <x:v>CCIC、SGS 服务说明</x:v>
      </x:c>
      <x:c r="I63" s="46" t="str">
        <x:v>必学</x:v>
      </x:c>
      <x:c r="J63" s="46" t="str">
        <x:v>需要时</x:v>
      </x:c>
      <x:c r="K63" s="50" t="str">
        <x:f>IF(AND(A63&lt;&gt;"",C63&lt;&gt;"",D63&lt;&gt;"",E63&lt;&gt;"",F63&lt;&gt;"",G63&lt;&gt;""),"完整","请补充")</x:f>
        <x:v>完整</x:v>
      </x:c>
    </x:row>
    <x:row r="64" ht="70" customHeight="1">
      <x:c r="A64" s="46" t="str">
        <x:v>CASE-015</x:v>
      </x:c>
      <x:c r="B64" s="46" t="str">
        <x:v>S2</x:v>
      </x:c>
      <x:c r="C64" s="46" t="str">
        <x:v>K3</x:v>
      </x:c>
      <x:c r="D64" s="46" t="str">
        <x:v>规则</x:v>
      </x:c>
      <x:c r="E64" s="46" t="str">
        <x:v>抽样代表性与封样规则</x:v>
      </x:c>
      <x:c r="F64" s="46" t="str">
        <x:v>抽样方案、样本量、随机性和留样影响检验结论证明力。</x:v>
      </x:c>
      <x:c r="G64" s="46" t="str">
        <x:v>支持学生设计可复核证据程序。</x:v>
      </x:c>
      <x:c r="H64" s="46" t="str">
        <x:v>课程组抽样检验指南</x:v>
      </x:c>
      <x:c r="I64" s="46" t="str">
        <x:v>必学</x:v>
      </x:c>
      <x:c r="J64" s="46" t="str">
        <x:v>需要时</x:v>
      </x:c>
      <x:c r="K64" s="50" t="str">
        <x:f>IF(AND(A64&lt;&gt;"",C64&lt;&gt;"",D64&lt;&gt;"",E64&lt;&gt;"",F64&lt;&gt;"",G64&lt;&gt;""),"完整","请补充")</x:f>
        <x:v>完整</x:v>
      </x:c>
    </x:row>
    <x:row r="65" ht="70" customHeight="1">
      <x:c r="A65" s="46" t="str">
        <x:v>CASE-015</x:v>
      </x:c>
      <x:c r="B65" s="46" t="str">
        <x:v>S2</x:v>
      </x:c>
      <x:c r="C65" s="46" t="str">
        <x:v>K4</x:v>
      </x:c>
      <x:c r="D65" s="46" t="str">
        <x:v>单证</x:v>
      </x:c>
      <x:c r="E65" s="46" t="str">
        <x:v>检验证书核心内容</x:v>
      </x:c>
      <x:c r="F65" s="46" t="str">
        <x:v>证书应载明委托人、货物、标准、方法、结果、日期和签发机构。</x:v>
      </x:c>
      <x:c r="G65" s="46" t="str">
        <x:v>帮助学生判断证书能否支持索赔。</x:v>
      </x:c>
      <x:c r="H65" s="46" t="str">
        <x:v>课程组 Inspection Certificate 样本</x:v>
      </x:c>
      <x:c r="I65" s="46" t="str">
        <x:v>必学</x:v>
      </x:c>
      <x:c r="J65" s="46" t="str">
        <x:v>需要时</x:v>
      </x:c>
      <x:c r="K65" s="50" t="str">
        <x:f>IF(AND(A65&lt;&gt;"",C65&lt;&gt;"",D65&lt;&gt;"",E65&lt;&gt;"",F65&lt;&gt;"",G65&lt;&gt;""),"完整","请补充")</x:f>
        <x:v>完整</x:v>
      </x:c>
    </x:row>
    <x:row r="66" ht="70" customHeight="1">
      <x:c r="A66" s="46" t="str">
        <x:v>CASE-016</x:v>
      </x:c>
      <x:c r="B66" s="46" t="str">
        <x:v>S1</x:v>
      </x:c>
      <x:c r="C66" s="46" t="str">
        <x:v>K1</x:v>
      </x:c>
      <x:c r="D66" s="46" t="str">
        <x:v>术语</x:v>
      </x:c>
      <x:c r="E66" s="46" t="str">
        <x:v>ICC(A/B/C) 险别层级</x:v>
      </x:c>
      <x:c r="F66" s="46" t="str">
        <x:v>三类条款采用不同承保逻辑和范围，且均有共同与特定除外。</x:v>
      </x:c>
      <x:c r="G66" s="46" t="str">
        <x:v>支持学生比较保障而非只记名称。</x:v>
      </x:c>
      <x:c r="H66" s="46" t="str">
        <x:v>Institute Cargo Clauses</x:v>
      </x:c>
      <x:c r="I66" s="46" t="str">
        <x:v>必学</x:v>
      </x:c>
      <x:c r="J66" s="46" t="str">
        <x:v>需要时</x:v>
      </x:c>
      <x:c r="K66" s="50" t="str">
        <x:f>IF(AND(A66&lt;&gt;"",C66&lt;&gt;"",D66&lt;&gt;"",E66&lt;&gt;"",F66&lt;&gt;"",G66&lt;&gt;""),"完整","请补充")</x:f>
        <x:v>完整</x:v>
      </x:c>
    </x:row>
    <x:row r="67" ht="70" customHeight="1">
      <x:c r="A67" s="46" t="str">
        <x:v>CASE-016</x:v>
      </x:c>
      <x:c r="B67" s="46" t="str">
        <x:v>S1</x:v>
      </x:c>
      <x:c r="C67" s="46" t="str">
        <x:v>K2</x:v>
      </x:c>
      <x:c r="D67" s="46" t="str">
        <x:v>规则</x:v>
      </x:c>
      <x:c r="E67" s="46" t="str">
        <x:v>Incoterms 2020 CIF 与 CIP 投保差异</x:v>
      </x:c>
      <x:c r="F67" s="46" t="str">
        <x:v>CIF 默认最低通常为 ICC(C) 水平，CIP 默认要求更广保障，双方可另行约定。</x:v>
      </x:c>
      <x:c r="G67" s="46" t="str">
        <x:v>帮助学生区分法定最低与商业需要。</x:v>
      </x:c>
      <x:c r="H67" s="46" t="str">
        <x:v>Incoterms 2020</x:v>
      </x:c>
      <x:c r="I67" s="46" t="str">
        <x:v>必学</x:v>
      </x:c>
      <x:c r="J67" s="46" t="str">
        <x:v>需要时</x:v>
      </x:c>
      <x:c r="K67" s="50" t="str">
        <x:f>IF(AND(A67&lt;&gt;"",C67&lt;&gt;"",D67&lt;&gt;"",E67&lt;&gt;"",F67&lt;&gt;"",G67&lt;&gt;""),"完整","请补充")</x:f>
        <x:v>完整</x:v>
      </x:c>
    </x:row>
    <x:row r="68" ht="70" customHeight="1">
      <x:c r="A68" s="46" t="str">
        <x:v>CASE-016</x:v>
      </x:c>
      <x:c r="B68" s="46" t="str">
        <x:v>S2</x:v>
      </x:c>
      <x:c r="C68" s="46" t="str">
        <x:v>K3</x:v>
      </x:c>
      <x:c r="D68" s="46" t="str">
        <x:v>术语</x:v>
      </x:c>
      <x:c r="E68" s="46" t="str">
        <x:v>保险金额 110% 与币种</x:v>
      </x:c>
      <x:c r="F68" s="46" t="str">
        <x:v>国际贸易中常以发票金额一定比例投保，以覆盖预期利润和费用。</x:v>
      </x:c>
      <x:c r="G68" s="46" t="str">
        <x:v>支持学生提出明确保额条款。</x:v>
      </x:c>
      <x:c r="H68" s="46" t="str">
        <x:v>课程组货运保险章节</x:v>
      </x:c>
      <x:c r="I68" s="46" t="str">
        <x:v>必学</x:v>
      </x:c>
      <x:c r="J68" s="46" t="str">
        <x:v>需要时</x:v>
      </x:c>
      <x:c r="K68" s="50" t="str">
        <x:f>IF(AND(A68&lt;&gt;"",C68&lt;&gt;"",D68&lt;&gt;"",E68&lt;&gt;"",F68&lt;&gt;"",G68&lt;&gt;""),"完整","请补充")</x:f>
        <x:v>完整</x:v>
      </x:c>
    </x:row>
    <x:row r="69" ht="70" customHeight="1">
      <x:c r="A69" s="46" t="str">
        <x:v>CASE-016</x:v>
      </x:c>
      <x:c r="B69" s="46" t="str">
        <x:v>S2</x:v>
      </x:c>
      <x:c r="C69" s="46" t="str">
        <x:v>K4</x:v>
      </x:c>
      <x:c r="D69" s="46" t="str">
        <x:v>单证</x:v>
      </x:c>
      <x:c r="E69" s="46" t="str">
        <x:v>货物运输保险单核对</x:v>
      </x:c>
      <x:c r="F69" s="46" t="str">
        <x:v>保单需核对被保险人、标的、航程、险别、金额、日期和签章。</x:v>
      </x:c>
      <x:c r="G69" s="46" t="str">
        <x:v>帮助学生判断保单能否支撑索赔。</x:v>
      </x:c>
      <x:c r="H69" s="46" t="str">
        <x:v>课程组 Insurance Policy 样本</x:v>
      </x:c>
      <x:c r="I69" s="46" t="str">
        <x:v>必学</x:v>
      </x:c>
      <x:c r="J69" s="46" t="str">
        <x:v>需要时</x:v>
      </x:c>
      <x:c r="K69" s="50" t="str">
        <x:f>IF(AND(A69&lt;&gt;"",C69&lt;&gt;"",D69&lt;&gt;"",E69&lt;&gt;"",F69&lt;&gt;"",G69&lt;&gt;""),"完整","请补充")</x:f>
        <x:v>完整</x:v>
      </x:c>
    </x:row>
    <x:row r="70" ht="70" customHeight="1">
      <x:c r="A70" s="46" t="str">
        <x:v>CASE-017</x:v>
      </x:c>
      <x:c r="B70" s="46" t="str">
        <x:v>S1</x:v>
      </x:c>
      <x:c r="C70" s="46" t="str">
        <x:v>K1</x:v>
      </x:c>
      <x:c r="D70" s="46" t="str">
        <x:v>规则</x:v>
      </x:c>
      <x:c r="E70" s="46" t="str">
        <x:v>仲裁条款六项完整要素</x:v>
      </x:c>
      <x:c r="F70" s="46" t="str">
        <x:v>仲裁意愿、事项范围、机构、仲裁地、规则语言和裁决效力共同保障可执行性。</x:v>
      </x:c>
      <x:c r="G70" s="46" t="str">
        <x:v>为学生提供合同审查框架。</x:v>
      </x:c>
      <x:c r="H70" s="46" t="str">
        <x:v>课程组仲裁条款清单</x:v>
      </x:c>
      <x:c r="I70" s="46" t="str">
        <x:v>必学</x:v>
      </x:c>
      <x:c r="J70" s="46" t="str">
        <x:v>需要时</x:v>
      </x:c>
      <x:c r="K70" s="50" t="str">
        <x:f>IF(AND(A70&lt;&gt;"",C70&lt;&gt;"",D70&lt;&gt;"",E70&lt;&gt;"",F70&lt;&gt;"",G70&lt;&gt;""),"完整","请补充")</x:f>
        <x:v>完整</x:v>
      </x:c>
    </x:row>
    <x:row r="71" ht="70" customHeight="1">
      <x:c r="A71" s="46" t="str">
        <x:v>CASE-017</x:v>
      </x:c>
      <x:c r="B71" s="46" t="str">
        <x:v>S1</x:v>
      </x:c>
      <x:c r="C71" s="46" t="str">
        <x:v>K2</x:v>
      </x:c>
      <x:c r="D71" s="46" t="str">
        <x:v>术语</x:v>
      </x:c>
      <x:c r="E71" s="46" t="str">
        <x:v>CIETAC、SIAC 与 HKIAC</x:v>
      </x:c>
      <x:c r="F71" s="46" t="str">
        <x:v>不同机构在规则、费用、地域便利和国际案件经验上各有特点。</x:v>
      </x:c>
      <x:c r="G71" s="46" t="str">
        <x:v>支持基于需求而非印象选择。</x:v>
      </x:c>
      <x:c r="H71" s="46" t="str">
        <x:v>各仲裁机构官方规则</x:v>
      </x:c>
      <x:c r="I71" s="46" t="str">
        <x:v>必学</x:v>
      </x:c>
      <x:c r="J71" s="46" t="str">
        <x:v>需要时</x:v>
      </x:c>
      <x:c r="K71" s="50" t="str">
        <x:f>IF(AND(A71&lt;&gt;"",C71&lt;&gt;"",D71&lt;&gt;"",E71&lt;&gt;"",F71&lt;&gt;"",G71&lt;&gt;""),"完整","请补充")</x:f>
        <x:v>完整</x:v>
      </x:c>
    </x:row>
    <x:row r="72" ht="70" customHeight="1">
      <x:c r="A72" s="46" t="str">
        <x:v>CASE-017</x:v>
      </x:c>
      <x:c r="B72" s="46" t="str">
        <x:v>S2</x:v>
      </x:c>
      <x:c r="C72" s="46" t="str">
        <x:v>K3</x:v>
      </x:c>
      <x:c r="D72" s="46" t="str">
        <x:v>规则</x:v>
      </x:c>
      <x:c r="E72" s="46" t="str">
        <x:v>纽约公约与裁决执行</x:v>
      </x:c>
      <x:c r="F72" s="46" t="str">
        <x:v>纽约公约为外国仲裁裁决的承认与执行提供国际框架。</x:v>
      </x:c>
      <x:c r="G72" s="46" t="str">
        <x:v>帮助学生把执行可能性纳入选择。</x:v>
      </x:c>
      <x:c r="H72" s="46" t="str">
        <x:v>1958 年纽约公约</x:v>
      </x:c>
      <x:c r="I72" s="46" t="str">
        <x:v>必学</x:v>
      </x:c>
      <x:c r="J72" s="46" t="str">
        <x:v>需要时</x:v>
      </x:c>
      <x:c r="K72" s="50" t="str">
        <x:f>IF(AND(A72&lt;&gt;"",C72&lt;&gt;"",D72&lt;&gt;"",E72&lt;&gt;"",F72&lt;&gt;"",G72&lt;&gt;""),"完整","请补充")</x:f>
        <x:v>完整</x:v>
      </x:c>
    </x:row>
    <x:row r="73" ht="70" customHeight="1">
      <x:c r="A73" s="46" t="str">
        <x:v>CASE-017</x:v>
      </x:c>
      <x:c r="B73" s="46" t="str">
        <x:v>S2</x:v>
      </x:c>
      <x:c r="C73" s="46" t="str">
        <x:v>K4</x:v>
      </x:c>
      <x:c r="D73" s="46" t="str">
        <x:v>术语</x:v>
      </x:c>
      <x:c r="E73" s="46" t="str">
        <x:v>仲裁地与仲裁机构的区别</x:v>
      </x:c>
      <x:c r="F73" s="46" t="str">
        <x:v>仲裁地决定程序法和司法监督，机构负责案件管理，两者可以不同。</x:v>
      </x:c>
      <x:c r="G73" s="46" t="str">
        <x:v>防止合同表述含糊。</x:v>
      </x:c>
      <x:c r="H73" s="46" t="str">
        <x:v>课程组国际商事仲裁章节</x:v>
      </x:c>
      <x:c r="I73" s="46" t="str">
        <x:v>必学</x:v>
      </x:c>
      <x:c r="J73" s="46" t="str">
        <x:v>需要时</x:v>
      </x:c>
      <x:c r="K73" s="50" t="str">
        <x:f>IF(AND(A73&lt;&gt;"",C73&lt;&gt;"",D73&lt;&gt;"",E73&lt;&gt;"",F73&lt;&gt;"",G73&lt;&gt;""),"完整","请补充")</x:f>
        <x:v>完整</x:v>
      </x:c>
    </x:row>
    <x:row r="74" ht="70" customHeight="1">
      <x:c r="A74" s="46" t="str">
        <x:v>CASE-018</x:v>
      </x:c>
      <x:c r="B74" s="46" t="str">
        <x:v>S1</x:v>
      </x:c>
      <x:c r="C74" s="46" t="str">
        <x:v>K1</x:v>
      </x:c>
      <x:c r="D74" s="46" t="str">
        <x:v>规则</x:v>
      </x:c>
      <x:c r="E74" s="46" t="str">
        <x:v>CIF 风险转移与责任切分</x:v>
      </x:c>
      <x:c r="F74" s="46" t="str">
        <x:v>CIF 下风险通常在装运港装船时转移，但制造质量义务仍由卖方按合同承担。</x:v>
      </x:c>
      <x:c r="G74" s="46" t="str">
        <x:v>帮助学生区分水渍与质量缺陷渠道。</x:v>
      </x:c>
      <x:c r="H74" s="46" t="str">
        <x:v>Incoterms 2020 CIF</x:v>
      </x:c>
      <x:c r="I74" s="46" t="str">
        <x:v>必学</x:v>
      </x:c>
      <x:c r="J74" s="46" t="str">
        <x:v>需要时</x:v>
      </x:c>
      <x:c r="K74" s="50" t="str">
        <x:f>IF(AND(A74&lt;&gt;"",C74&lt;&gt;"",D74&lt;&gt;"",E74&lt;&gt;"",F74&lt;&gt;"",G74&lt;&gt;""),"完整","请补充")</x:f>
        <x:v>完整</x:v>
      </x:c>
    </x:row>
    <x:row r="75" ht="70" customHeight="1">
      <x:c r="A75" s="46" t="str">
        <x:v>CASE-018</x:v>
      </x:c>
      <x:c r="B75" s="46" t="str">
        <x:v>S1</x:v>
      </x:c>
      <x:c r="C75" s="46" t="str">
        <x:v>K2</x:v>
      </x:c>
      <x:c r="D75" s="46" t="str">
        <x:v>单证</x:v>
      </x:c>
      <x:c r="E75" s="46" t="str">
        <x:v>质量索赔证据链清单</x:v>
      </x:c>
      <x:c r="F75" s="46" t="str">
        <x:v>合同、检验证书、照片、批次、数量和损失计算共同形成可核验证据。</x:v>
      </x:c>
      <x:c r="G75" s="46" t="str">
        <x:v>直接支撑学生完成索赔函。</x:v>
      </x:c>
      <x:c r="H75" s="46" t="str">
        <x:v>课程组索赔证据清单</x:v>
      </x:c>
      <x:c r="I75" s="46" t="str">
        <x:v>必学</x:v>
      </x:c>
      <x:c r="J75" s="46" t="str">
        <x:v>需要时</x:v>
      </x:c>
      <x:c r="K75" s="50" t="str">
        <x:f>IF(AND(A75&lt;&gt;"",C75&lt;&gt;"",D75&lt;&gt;"",E75&lt;&gt;"",F75&lt;&gt;"",G75&lt;&gt;""),"完整","请补充")</x:f>
        <x:v>完整</x:v>
      </x:c>
    </x:row>
    <x:row r="76" ht="70" customHeight="1">
      <x:c r="A76" s="46" t="str">
        <x:v>CASE-018</x:v>
      </x:c>
      <x:c r="B76" s="46" t="str">
        <x:v>S2</x:v>
      </x:c>
      <x:c r="C76" s="46" t="str">
        <x:v>K3</x:v>
      </x:c>
      <x:c r="D76" s="46" t="str">
        <x:v>业务流程</x:v>
      </x:c>
      <x:c r="E76" s="46" t="str">
        <x:v>保险索赔与卖方索赔分流</x:v>
      </x:c>
      <x:c r="F76" s="46" t="str">
        <x:v>运输危险与货物固有质量问题应分别通知相应责任方并避免重复求偿。</x:v>
      </x:c>
      <x:c r="G76" s="46" t="str">
        <x:v>帮助学生选择正确索赔路径。</x:v>
      </x:c>
      <x:c r="H76" s="46" t="str">
        <x:v>课程组理赔流程图</x:v>
      </x:c>
      <x:c r="I76" s="46" t="str">
        <x:v>必学</x:v>
      </x:c>
      <x:c r="J76" s="46" t="str">
        <x:v>需要时</x:v>
      </x:c>
      <x:c r="K76" s="50" t="str">
        <x:f>IF(AND(A76&lt;&gt;"",C76&lt;&gt;"",D76&lt;&gt;"",E76&lt;&gt;"",F76&lt;&gt;"",G76&lt;&gt;""),"完整","请补充")</x:f>
        <x:v>完整</x:v>
      </x:c>
    </x:row>
    <x:row r="77" ht="70" customHeight="1">
      <x:c r="A77" s="46" t="str">
        <x:v>CASE-018</x:v>
      </x:c>
      <x:c r="B77" s="46" t="str">
        <x:v>S2</x:v>
      </x:c>
      <x:c r="C77" s="46" t="str">
        <x:v>K4</x:v>
      </x:c>
      <x:c r="D77" s="46" t="str">
        <x:v>语言表达</x:v>
      </x:c>
      <x:c r="E77" s="46" t="str">
        <x:v>正式索赔函的六段结构</x:v>
      </x:c>
      <x:c r="F77" s="46" t="str">
        <x:v>用客观事实、附件引用、金额和期限替代情绪化表达。</x:v>
      </x:c>
      <x:c r="G77" s="46" t="str">
        <x:v>形成专业且可执行的索赔。</x:v>
      </x:c>
      <x:c r="H77" s="46" t="str">
        <x:v>课程组 Claim Letter 模板</x:v>
      </x:c>
      <x:c r="I77" s="46" t="str">
        <x:v>必学</x:v>
      </x:c>
      <x:c r="J77" s="46" t="str">
        <x:v>训练前</x:v>
      </x:c>
      <x:c r="K77" s="50" t="str">
        <x:f>IF(AND(A77&lt;&gt;"",C77&lt;&gt;"",D77&lt;&gt;"",E77&lt;&gt;"",F77&lt;&gt;"",G77&lt;&gt;""),"完整","请补充")</x:f>
        <x:v>完整</x:v>
      </x:c>
    </x:row>
    <x:row r="78" ht="70" customHeight="1">
      <x:c r="A78" s="46" t="str">
        <x:v>CASE-019</x:v>
      </x:c>
      <x:c r="B78" s="46" t="str">
        <x:v>S1</x:v>
      </x:c>
      <x:c r="C78" s="46" t="str">
        <x:v>K1</x:v>
      </x:c>
      <x:c r="D78" s="46" t="str">
        <x:v>规则</x:v>
      </x:c>
      <x:c r="E78" s="46" t="str">
        <x:v>容差条款的适用范围</x:v>
      </x:c>
      <x:c r="F78" s="46" t="str">
        <x:v>容差必须结合适用指标、计算基数、允许幅度和例外理解。</x:v>
      </x:c>
      <x:c r="G78" s="46" t="str">
        <x:v>帮助学生识别卖方是否错用条款。</x:v>
      </x:c>
      <x:c r="H78" s="46" t="str">
        <x:v>合同质量条款；课程组解释</x:v>
      </x:c>
      <x:c r="I78" s="46" t="str">
        <x:v>必学</x:v>
      </x:c>
      <x:c r="J78" s="46" t="str">
        <x:v>需要时</x:v>
      </x:c>
      <x:c r="K78" s="50" t="str">
        <x:f>IF(AND(A78&lt;&gt;"",C78&lt;&gt;"",D78&lt;&gt;"",E78&lt;&gt;"",F78&lt;&gt;"",G78&lt;&gt;""),"完整","请补充")</x:f>
        <x:v>完整</x:v>
      </x:c>
    </x:row>
    <x:row r="79" ht="70" customHeight="1">
      <x:c r="A79" s="46" t="str">
        <x:v>CASE-019</x:v>
      </x:c>
      <x:c r="B79" s="46" t="str">
        <x:v>S1</x:v>
      </x:c>
      <x:c r="C79" s="46" t="str">
        <x:v>K2</x:v>
      </x:c>
      <x:c r="D79" s="46" t="str">
        <x:v>术语</x:v>
      </x:c>
      <x:c r="E79" s="46" t="str">
        <x:v>抽样代表性与置信风险</x:v>
      </x:c>
      <x:c r="F79" s="46" t="str">
        <x:v>样本选择、规模和方法影响结论能否代表整批货物。</x:v>
      </x:c>
      <x:c r="G79" s="46" t="str">
        <x:v>支持学生回应抽样不足抗辩。</x:v>
      </x:c>
      <x:c r="H79" s="46" t="str">
        <x:v>课程组抽样基础材料</x:v>
      </x:c>
      <x:c r="I79" s="46" t="str">
        <x:v>必学</x:v>
      </x:c>
      <x:c r="J79" s="46" t="str">
        <x:v>需要时</x:v>
      </x:c>
      <x:c r="K79" s="50" t="str">
        <x:f>IF(AND(A79&lt;&gt;"",C79&lt;&gt;"",D79&lt;&gt;"",E79&lt;&gt;"",F79&lt;&gt;"",G79&lt;&gt;""),"完整","请补充")</x:f>
        <x:v>完整</x:v>
      </x:c>
    </x:row>
    <x:row r="80" ht="70" customHeight="1">
      <x:c r="A80" s="46" t="str">
        <x:v>CASE-019</x:v>
      </x:c>
      <x:c r="B80" s="46" t="str">
        <x:v>S2</x:v>
      </x:c>
      <x:c r="C80" s="46" t="str">
        <x:v>K3</x:v>
      </x:c>
      <x:c r="D80" s="46" t="str">
        <x:v>单证</x:v>
      </x:c>
      <x:c r="E80" s="46" t="str">
        <x:v>证据矩阵与争点对照表</x:v>
      </x:c>
      <x:c r="F80" s="46" t="str">
        <x:v>将每项抗辩、合同标准、证据和结论并列，显示证据缺口。</x:v>
      </x:c>
      <x:c r="G80" s="46" t="str">
        <x:v>帮助学生组织逐项反驳。</x:v>
      </x:c>
      <x:c r="H80" s="46" t="str">
        <x:v>课程组索赔证据矩阵</x:v>
      </x:c>
      <x:c r="I80" s="46" t="str">
        <x:v>必学</x:v>
      </x:c>
      <x:c r="J80" s="46" t="str">
        <x:v>需要时</x:v>
      </x:c>
      <x:c r="K80" s="50" t="str">
        <x:f>IF(AND(A80&lt;&gt;"",C80&lt;&gt;"",D80&lt;&gt;"",E80&lt;&gt;"",F80&lt;&gt;"",G80&lt;&gt;""),"完整","请补充")</x:f>
        <x:v>完整</x:v>
      </x:c>
    </x:row>
    <x:row r="81" ht="70" customHeight="1">
      <x:c r="A81" s="46" t="str">
        <x:v>CASE-019</x:v>
      </x:c>
      <x:c r="B81" s="46" t="str">
        <x:v>S2</x:v>
      </x:c>
      <x:c r="C81" s="46" t="str">
        <x:v>K4</x:v>
      </x:c>
      <x:c r="D81" s="46" t="str">
        <x:v>语言表达</x:v>
      </x:c>
      <x:c r="E81" s="46" t="str">
        <x:v>理性反驳的让步—转折结构</x:v>
      </x:c>
      <x:c r="F81" s="46" t="str">
        <x:v>先承认可核实部分，再用 however、the evidence shows 等表达具体不同意见。</x:v>
      </x:c>
      <x:c r="G81" s="46" t="str">
        <x:v>维持关系同时增强论证。</x:v>
      </x:c>
      <x:c r="H81" s="46" t="str">
        <x:v>课程组抗辩回应句框</x:v>
      </x:c>
      <x:c r="I81" s="46" t="str">
        <x:v>选学</x:v>
      </x:c>
      <x:c r="J81" s="46" t="str">
        <x:v>需要时</x:v>
      </x:c>
      <x:c r="K81" s="50" t="str">
        <x:f>IF(AND(A81&lt;&gt;"",C81&lt;&gt;"",D81&lt;&gt;"",E81&lt;&gt;"",F81&lt;&gt;"",G81&lt;&gt;""),"完整","请补充")</x:f>
        <x:v>完整</x:v>
      </x:c>
    </x:row>
    <x:row r="82" ht="70" customHeight="1">
      <x:c r="A82" s="46" t="str">
        <x:v>CASE-020</x:v>
      </x:c>
      <x:c r="B82" s="46" t="str">
        <x:v>S1</x:v>
      </x:c>
      <x:c r="C82" s="46" t="str">
        <x:v>K1</x:v>
      </x:c>
      <x:c r="D82" s="46" t="str">
        <x:v>术语</x:v>
      </x:c>
      <x:c r="E82" s="46" t="str">
        <x:v>非现金补偿的可用价值</x:v>
      </x:c>
      <x:c r="F82" s="46" t="str">
        <x:v>折扣、备件、延保和服务价值取决于未来使用条件与替代成本。</x:v>
      </x:c>
      <x:c r="G82" s="46" t="str">
        <x:v>帮助学生识别名义价值与实际价值差异。</x:v>
      </x:c>
      <x:c r="H82" s="46" t="str">
        <x:v>课程组和解价值表</x:v>
      </x:c>
      <x:c r="I82" s="46" t="str">
        <x:v>必学</x:v>
      </x:c>
      <x:c r="J82" s="46" t="str">
        <x:v>需要时</x:v>
      </x:c>
      <x:c r="K82" s="50" t="str">
        <x:f>IF(AND(A82&lt;&gt;"",C82&lt;&gt;"",D82&lt;&gt;"",E82&lt;&gt;"",F82&lt;&gt;"",G82&lt;&gt;""),"完整","请补充")</x:f>
        <x:v>完整</x:v>
      </x:c>
    </x:row>
    <x:row r="83" ht="70" customHeight="1">
      <x:c r="A83" s="46" t="str">
        <x:v>CASE-020</x:v>
      </x:c>
      <x:c r="B83" s="46" t="str">
        <x:v>S1</x:v>
      </x:c>
      <x:c r="C83" s="46" t="str">
        <x:v>K2</x:v>
      </x:c>
      <x:c r="D83" s="46" t="str">
        <x:v>单证</x:v>
      </x:c>
      <x:c r="E83" s="46" t="str">
        <x:v>和解协议核心条款</x:v>
      </x:c>
      <x:c r="F83" s="46" t="str">
        <x:v>和解应明确争议、补偿、履行、保密、释放范围和违约后果。</x:v>
      </x:c>
      <x:c r="G83" s="46" t="str">
        <x:v>支持学生将谈判结果固化。</x:v>
      </x:c>
      <x:c r="H83" s="46" t="str">
        <x:v>课程组 Settlement Agreement 样本</x:v>
      </x:c>
      <x:c r="I83" s="46" t="str">
        <x:v>必学</x:v>
      </x:c>
      <x:c r="J83" s="46" t="str">
        <x:v>需要时</x:v>
      </x:c>
      <x:c r="K83" s="50" t="str">
        <x:f>IF(AND(A83&lt;&gt;"",C83&lt;&gt;"",D83&lt;&gt;"",E83&lt;&gt;"",F83&lt;&gt;"",G83&lt;&gt;""),"完整","请补充")</x:f>
        <x:v>完整</x:v>
      </x:c>
    </x:row>
    <x:row r="84" ht="70" customHeight="1">
      <x:c r="A84" s="46" t="str">
        <x:v>CASE-020</x:v>
      </x:c>
      <x:c r="B84" s="46" t="str">
        <x:v>S2</x:v>
      </x:c>
      <x:c r="C84" s="46" t="str">
        <x:v>K3</x:v>
      </x:c>
      <x:c r="D84" s="46" t="str">
        <x:v>规则</x:v>
      </x:c>
      <x:c r="E84" s="46" t="str">
        <x:v>权利保留与释放范围</x:v>
      </x:c>
      <x:c r="F84" s="46" t="str">
        <x:v>release 的对象、批次、问题和时间范围应具体，避免覆盖未知或未解决事项。</x:v>
      </x:c>
      <x:c r="G84" s="46" t="str">
        <x:v>帮助学生审查结案风险。</x:v>
      </x:c>
      <x:c r="H84" s="46" t="str">
        <x:v>课程组争议结案指南</x:v>
      </x:c>
      <x:c r="I84" s="46" t="str">
        <x:v>必学</x:v>
      </x:c>
      <x:c r="J84" s="46" t="str">
        <x:v>需要时</x:v>
      </x:c>
      <x:c r="K84" s="50" t="str">
        <x:f>IF(AND(A84&lt;&gt;"",C84&lt;&gt;"",D84&lt;&gt;"",E84&lt;&gt;"",F84&lt;&gt;"",G84&lt;&gt;""),"完整","请补充")</x:f>
        <x:v>完整</x:v>
      </x:c>
    </x:row>
    <x:row r="85" ht="70" customHeight="1">
      <x:c r="A85" s="46" t="str">
        <x:v>CASE-020</x:v>
      </x:c>
      <x:c r="B85" s="46" t="str">
        <x:v>S2</x:v>
      </x:c>
      <x:c r="C85" s="46" t="str">
        <x:v>K4</x:v>
      </x:c>
      <x:c r="D85" s="46" t="str">
        <x:v>业务流程</x:v>
      </x:c>
      <x:c r="E85" s="46" t="str">
        <x:v>关系修复与复盘闭环</x:v>
      </x:c>
      <x:c r="F85" s="46" t="str">
        <x:v>和解后应确认改进措施、联系人、复发预防和后续合作边界。</x:v>
      </x:c>
      <x:c r="G85" s="46" t="str">
        <x:v>把一次争议转化为供应链改进。</x:v>
      </x:c>
      <x:c r="H85" s="46" t="str">
        <x:v>课程组索赔复盘模板</x:v>
      </x:c>
      <x:c r="I85" s="46" t="str">
        <x:v>选学</x:v>
      </x:c>
      <x:c r="J85" s="46" t="str">
        <x:v>训练后</x:v>
      </x:c>
      <x:c r="K85" s="50" t="str">
        <x:f>IF(AND(A85&lt;&gt;"",C85&lt;&gt;"",D85&lt;&gt;"",E85&lt;&gt;"",F85&lt;&gt;"",G85&lt;&gt;""),"完整","请补充")</x:f>
        <x:v>完整</x:v>
      </x:c>
    </x:row>
  </x:sheetData>
  <x:mergeCells>
    <x:mergeCell ref="A1:K1"/>
    <x:mergeCell ref="A2:K2"/>
    <x:mergeCell ref="A3:K3"/>
  </x:mergeCells>
  <x:conditionalFormatting sqref="K6:K85">
    <x:cfRule type="containsText" dxfId="6" priority="1" operator="containsText" text="请补充"/>
    <x:cfRule type="containsText" dxfId="7" priority="2" operator="containsText" text="完整"/>
  </x:conditionalFormatting>
  <x:dataValidations count="3">
    <x:dataValidation type="list" sqref="D6:D85">
      <x:formula1>"术语,规则,单证,业务流程,语言表达,产品与市场"</x:formula1>
    </x:dataValidation>
    <x:dataValidation type="list" sqref="I6:I85">
      <x:formula1>"必学,选学,拓展"</x:formula1>
    </x:dataValidation>
    <x:dataValidation type="list" sqref="J6:J85">
      <x:formula1>"训练前,需要时,训练后"</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14" hidden="0" customWidth="1"/>
    <x:col min="3" max="3" width="14" hidden="0" customWidth="1"/>
    <x:col min="4" max="4" width="42" hidden="0" customWidth="1"/>
    <x:col min="5" max="5" width="22" hidden="0" customWidth="1"/>
    <x:col min="6" max="6" width="18" hidden="0" customWidth="1"/>
    <x:col min="7" max="7" width="48" hidden="0" customWidth="1"/>
    <x:col min="8" max="8" width="42" hidden="0" customWidth="1"/>
    <x:col min="9" max="9" width="18" hidden="0" customWidth="1"/>
    <x:col min="10" max="10" width="14" hidden="0" customWidth="1"/>
  </x:cols>
  <x:sheetData>
    <x:row r="1" ht="34" customHeight="1">
      <x:c r="A1" s="34" t="str">
        <x:v>05｜分级提示</x:v>
      </x:c>
      <x:c r="B1" s="34"/>
      <x:c r="C1" s="34"/>
      <x:c r="D1" s="34"/>
      <x:c r="E1" s="34"/>
      <x:c r="F1" s="34"/>
      <x:c r="G1" s="34"/>
      <x:c r="H1" s="34"/>
      <x:c r="I1" s="34"/>
      <x:c r="J1" s="34"/>
    </x:row>
    <x:row r="2" ht="30" customHeight="1">
      <x:c r="A2" s="36" t="str">
        <x:v>脚手架在学生需要时逐级出现，并在学生独立完成后撤除。</x:v>
      </x:c>
      <x:c r="B2" s="36"/>
      <x:c r="C2" s="36"/>
      <x:c r="D2" s="36"/>
      <x:c r="E2" s="36"/>
      <x:c r="F2" s="36"/>
      <x:c r="G2" s="36"/>
      <x:c r="H2" s="36"/>
      <x:c r="I2" s="36"/>
      <x:c r="J2" s="36"/>
    </x:row>
    <x:row r="3" ht="28" customHeight="1">
      <x:c r="A3" s="39" t="str">
        <x:v>每个局面配置 1 级观察线索和 2 级策略提示；不直接泄露完整标准答案。</x:v>
      </x:c>
      <x:c r="B3" s="39"/>
      <x:c r="C3" s="39"/>
      <x:c r="D3" s="39"/>
      <x:c r="E3" s="39"/>
      <x:c r="F3" s="39"/>
      <x:c r="G3" s="39"/>
      <x:c r="H3" s="39"/>
      <x:c r="I3" s="39"/>
      <x:c r="J3" s="39"/>
    </x:row>
    <x:row r="4">
      <x:c r="A4" s="32"/>
      <x:c r="B4" s="32"/>
      <x:c r="C4" s="32"/>
      <x:c r="D4" s="32"/>
      <x:c r="E4" s="32"/>
      <x:c r="F4" s="32"/>
      <x:c r="G4" s="32"/>
      <x:c r="H4" s="32"/>
      <x:c r="I4" s="32"/>
      <x:c r="J4" s="32"/>
    </x:row>
    <x:row r="5" ht="42" customHeight="1">
      <x:c r="A5" s="43" t="str">
        <x:v>案例编号（必填）</x:v>
      </x:c>
      <x:c r="B5" s="43" t="str">
        <x:v>局面编号（必填）</x:v>
      </x:c>
      <x:c r="C5" s="43" t="str">
        <x:v>提示编号（必填）</x:v>
      </x:c>
      <x:c r="D5" s="43" t="str">
        <x:v>何时触发（必填）</x:v>
      </x:c>
      <x:c r="E5" s="43" t="str">
        <x:v>提示等级（必填）</x:v>
      </x:c>
      <x:c r="F5" s="43" t="str">
        <x:v>提示形式</x:v>
      </x:c>
      <x:c r="G5" s="43" t="str">
        <x:v>提示内容（必填）</x:v>
      </x:c>
      <x:c r="H5" s="43" t="str">
        <x:v>何时撤除（必填）</x:v>
      </x:c>
      <x:c r="I5" s="43" t="str">
        <x:v>每次训练最多使用</x:v>
      </x:c>
      <x:c r="J5" s="43" t="str">
        <x:v>填写检查</x:v>
      </x:c>
    </x:row>
    <x:row r="6" ht="70" customHeight="1">
      <x:c r="A6" s="46" t="str">
        <x:v>CASE-001</x:v>
      </x:c>
      <x:c r="B6" s="46" t="str">
        <x:v>S1</x:v>
      </x:c>
      <x:c r="C6" s="46" t="str">
        <x:v>H1</x:v>
      </x:c>
      <x:c r="D6" s="46" t="str">
        <x:v>学生首次回应未指出该局面的核心信号或风险。</x:v>
      </x:c>
      <x:c r="E6" s="46" t="str">
        <x:v>1级｜观察线索</x:v>
      </x:c>
      <x:c r="F6" s="46" t="str">
        <x:v>问题提示</x:v>
      </x:c>
      <x:c r="G6" s="46" t="str">
        <x:v>请重新观察局面中的关键词和条件：它可能怎样影响交易判断？</x:v>
      </x:c>
      <x:c r="H6" s="46" t="str">
        <x:v>学生能独立说明：首函必须先建立身份可信度，再提出资料请求。</x:v>
      </x:c>
      <x:c r="I6" s="46" t="n">
        <x:v>1</x:v>
      </x:c>
      <x:c r="J6" s="50" t="str">
        <x:f>IF(AND(A6&lt;&gt;"",B6&lt;&gt;"",C6&lt;&gt;"",D6&lt;&gt;"",E6&lt;&gt;"",G6&lt;&gt;"",H6&lt;&gt;""),"完整","请补充")</x:f>
        <x:v>完整</x:v>
      </x:c>
    </x:row>
    <x:row r="7" ht="70" customHeight="1">
      <x:c r="A7" s="46" t="str">
        <x:v>CASE-001</x:v>
      </x:c>
      <x:c r="B7" s="46" t="str">
        <x:v>S1</x:v>
      </x:c>
      <x:c r="C7" s="46" t="str">
        <x:v>H2</x:v>
      </x:c>
      <x:c r="D7" s="46" t="str">
        <x:v>一级提示后仍未形成可执行行动。</x:v>
      </x:c>
      <x:c r="E7" s="46" t="str">
        <x:v>2级｜策略提示</x:v>
      </x:c>
      <x:c r="F7" s="46" t="str">
        <x:v>策略卡</x:v>
      </x:c>
      <x:c r="G7" s="46" t="str">
        <x:v>考虑使用“用信息来源建立可信开场”：先说明判断依据，再提出可验证的下一步。</x:v>
      </x:c>
      <x:c r="H7" s="46" t="str">
        <x:v>学生能独立采取行动：说明如何获知对方、己方业务范围和本次联系目的。</x:v>
      </x:c>
      <x:c r="I7" s="46" t="n">
        <x:v>1</x:v>
      </x:c>
      <x:c r="J7" s="50" t="str">
        <x:f>IF(AND(A7&lt;&gt;"",B7&lt;&gt;"",C7&lt;&gt;"",D7&lt;&gt;"",E7&lt;&gt;"",G7&lt;&gt;"",H7&lt;&gt;""),"完整","请补充")</x:f>
        <x:v>完整</x:v>
      </x:c>
    </x:row>
    <x:row r="8" ht="70" customHeight="1">
      <x:c r="A8" s="46" t="str">
        <x:v>CASE-001</x:v>
      </x:c>
      <x:c r="B8" s="46" t="str">
        <x:v>S2</x:v>
      </x:c>
      <x:c r="C8" s="46" t="str">
        <x:v>H1</x:v>
      </x:c>
      <x:c r="D8" s="46" t="str">
        <x:v>学生首次回应未指出该局面的核心信号或风险。</x:v>
      </x:c>
      <x:c r="E8" s="46" t="str">
        <x:v>1级｜观察线索</x:v>
      </x:c>
      <x:c r="F8" s="46" t="str">
        <x:v>问题提示</x:v>
      </x:c>
      <x:c r="G8" s="46" t="str">
        <x:v>请重新观察局面中的关键词和条件：它可能怎样影响交易判断？</x:v>
      </x:c>
      <x:c r="H8" s="46" t="str">
        <x:v>学生能独立说明：可用可核实信息证明诚意，同时避免作出未经授权的数量承诺。</x:v>
      </x:c>
      <x:c r="I8" s="46" t="n">
        <x:v>1</x:v>
      </x:c>
      <x:c r="J8" s="50" t="str">
        <x:f>IF(AND(A8&lt;&gt;"",B8&lt;&gt;"",C8&lt;&gt;"",D8&lt;&gt;"",E8&lt;&gt;"",G8&lt;&gt;"",H8&lt;&gt;""),"完整","请补充")</x:f>
        <x:v>完整</x:v>
      </x:c>
    </x:row>
    <x:row r="9" ht="70" customHeight="1">
      <x:c r="A9" s="46" t="str">
        <x:v>CASE-001</x:v>
      </x:c>
      <x:c r="B9" s="46" t="str">
        <x:v>S2</x:v>
      </x:c>
      <x:c r="C9" s="46" t="str">
        <x:v>H2</x:v>
      </x:c>
      <x:c r="D9" s="46" t="str">
        <x:v>一级提示后仍未形成可执行行动。</x:v>
      </x:c>
      <x:c r="E9" s="46" t="str">
        <x:v>2级｜策略提示</x:v>
      </x:c>
      <x:c r="F9" s="46" t="str">
        <x:v>策略卡</x:v>
      </x:c>
      <x:c r="G9" s="46" t="str">
        <x:v>考虑使用“以可核实事实展示实力”：先说明判断依据，再提出可验证的下一步。</x:v>
      </x:c>
      <x:c r="H9" s="46" t="str">
        <x:v>学生能独立采取行动：说明主营市场、渠道和采购流程，但不承诺尚未批准的数量。</x:v>
      </x:c>
      <x:c r="I9" s="46" t="n">
        <x:v>1</x:v>
      </x:c>
      <x:c r="J9" s="50" t="str">
        <x:f>IF(AND(A9&lt;&gt;"",B9&lt;&gt;"",C9&lt;&gt;"",D9&lt;&gt;"",E9&lt;&gt;"",G9&lt;&gt;"",H9&lt;&gt;""),"完整","请补充")</x:f>
        <x:v>完整</x:v>
      </x:c>
    </x:row>
    <x:row r="10" ht="70" customHeight="1">
      <x:c r="A10" s="46" t="str">
        <x:v>CASE-002</x:v>
      </x:c>
      <x:c r="B10" s="46" t="str">
        <x:v>S1</x:v>
      </x:c>
      <x:c r="C10" s="46" t="str">
        <x:v>H1</x:v>
      </x:c>
      <x:c r="D10" s="46" t="str">
        <x:v>学生首次回应未指出该局面的核心信号或风险。</x:v>
      </x:c>
      <x:c r="E10" s="46" t="str">
        <x:v>1级｜观察线索</x:v>
      </x:c>
      <x:c r="F10" s="46" t="str">
        <x:v>问题提示</x:v>
      </x:c>
      <x:c r="G10" s="46" t="str">
        <x:v>请重新观察局面中的关键词和条件：它可能怎样影响交易判断？</x:v>
      </x:c>
      <x:c r="H10" s="46" t="str">
        <x:v>学生能独立说明：具体询盘必须提供足以报价的交易要素。</x:v>
      </x:c>
      <x:c r="I10" s="46" t="n">
        <x:v>1</x:v>
      </x:c>
      <x:c r="J10" s="50" t="str">
        <x:f>IF(AND(A10&lt;&gt;"",B10&lt;&gt;"",C10&lt;&gt;"",D10&lt;&gt;"",E10&lt;&gt;"",G10&lt;&gt;"",H10&lt;&gt;""),"完整","请补充")</x:f>
        <x:v>完整</x:v>
      </x:c>
    </x:row>
    <x:row r="11" ht="70" customHeight="1">
      <x:c r="A11" s="46" t="str">
        <x:v>CASE-002</x:v>
      </x:c>
      <x:c r="B11" s="46" t="str">
        <x:v>S1</x:v>
      </x:c>
      <x:c r="C11" s="46" t="str">
        <x:v>H2</x:v>
      </x:c>
      <x:c r="D11" s="46" t="str">
        <x:v>一级提示后仍未形成可执行行动。</x:v>
      </x:c>
      <x:c r="E11" s="46" t="str">
        <x:v>2级｜策略提示</x:v>
      </x:c>
      <x:c r="F11" s="46" t="str">
        <x:v>策略卡</x:v>
      </x:c>
      <x:c r="G11" s="46" t="str">
        <x:v>考虑使用“用结构化清单提出具体询盘”：先说明判断依据，再提出可验证的下一步。</x:v>
      </x:c>
      <x:c r="H11" s="46" t="str">
        <x:v>学生能独立采取行动：按产品、规格、数量、术语、付款、交期、有效期逐项询问。</x:v>
      </x:c>
      <x:c r="I11" s="46" t="n">
        <x:v>1</x:v>
      </x:c>
      <x:c r="J11" s="50" t="str">
        <x:f>IF(AND(A11&lt;&gt;"",B11&lt;&gt;"",C11&lt;&gt;"",D11&lt;&gt;"",E11&lt;&gt;"",G11&lt;&gt;"",H11&lt;&gt;""),"完整","请补充")</x:f>
        <x:v>完整</x:v>
      </x:c>
    </x:row>
    <x:row r="12" ht="70" customHeight="1">
      <x:c r="A12" s="46" t="str">
        <x:v>CASE-002</x:v>
      </x:c>
      <x:c r="B12" s="46" t="str">
        <x:v>S2</x:v>
      </x:c>
      <x:c r="C12" s="46" t="str">
        <x:v>H1</x:v>
      </x:c>
      <x:c r="D12" s="46" t="str">
        <x:v>学生首次回应未指出该局面的核心信号或风险。</x:v>
      </x:c>
      <x:c r="E12" s="46" t="str">
        <x:v>1级｜观察线索</x:v>
      </x:c>
      <x:c r="F12" s="46" t="str">
        <x:v>问题提示</x:v>
      </x:c>
      <x:c r="G12" s="46" t="str">
        <x:v>请重新观察局面中的关键词和条件：它可能怎样影响交易判断？</x:v>
      </x:c>
      <x:c r="H12" s="46" t="str">
        <x:v>学生能独立说明：询盘阶段应控制敏感信息，只披露能换取报价的必要条件。</x:v>
      </x:c>
      <x:c r="I12" s="46" t="n">
        <x:v>1</x:v>
      </x:c>
      <x:c r="J12" s="50" t="str">
        <x:f>IF(AND(A12&lt;&gt;"",B12&lt;&gt;"",C12&lt;&gt;"",D12&lt;&gt;"",E12&lt;&gt;"",G12&lt;&gt;"",H12&lt;&gt;""),"完整","请补充")</x:f>
        <x:v>完整</x:v>
      </x:c>
    </x:row>
    <x:row r="13" ht="70" customHeight="1">
      <x:c r="A13" s="46" t="str">
        <x:v>CASE-002</x:v>
      </x:c>
      <x:c r="B13" s="46" t="str">
        <x:v>S2</x:v>
      </x:c>
      <x:c r="C13" s="46" t="str">
        <x:v>H2</x:v>
      </x:c>
      <x:c r="D13" s="46" t="str">
        <x:v>一级提示后仍未形成可执行行动。</x:v>
      </x:c>
      <x:c r="E13" s="46" t="str">
        <x:v>2级｜策略提示</x:v>
      </x:c>
      <x:c r="F13" s="46" t="str">
        <x:v>策略卡</x:v>
      </x:c>
      <x:c r="G13" s="46" t="str">
        <x:v>考虑使用“以订单用途替代预算披露”：先说明判断依据，再提出可验证的下一步。</x:v>
      </x:c>
      <x:c r="H13" s="46" t="str">
        <x:v>学生能独立采取行动：说明试单与后续复购逻辑，不给最后接受价。</x:v>
      </x:c>
      <x:c r="I13" s="46" t="n">
        <x:v>1</x:v>
      </x:c>
      <x:c r="J13" s="50" t="str">
        <x:f>IF(AND(A13&lt;&gt;"",B13&lt;&gt;"",C13&lt;&gt;"",D13&lt;&gt;"",E13&lt;&gt;"",G13&lt;&gt;"",H13&lt;&gt;""),"完整","请补充")</x:f>
        <x:v>完整</x:v>
      </x:c>
    </x:row>
    <x:row r="14" ht="70" customHeight="1">
      <x:c r="A14" s="46" t="str">
        <x:v>CASE-003</x:v>
      </x:c>
      <x:c r="B14" s="46" t="str">
        <x:v>S1</x:v>
      </x:c>
      <x:c r="C14" s="46" t="str">
        <x:v>H1</x:v>
      </x:c>
      <x:c r="D14" s="46" t="str">
        <x:v>学生首次回应未指出该局面的核心信号或风险。</x:v>
      </x:c>
      <x:c r="E14" s="46" t="str">
        <x:v>1级｜观察线索</x:v>
      </x:c>
      <x:c r="F14" s="46" t="str">
        <x:v>问题提示</x:v>
      </x:c>
      <x:c r="G14" s="46" t="str">
        <x:v>请重新观察局面中的关键词和条件：它可能怎样影响交易判断？</x:v>
      </x:c>
      <x:c r="H14" s="46" t="str">
        <x:v>学生能独立说明：需要设置明确而合理的回复节点，而不是情绪化催促。</x:v>
      </x:c>
      <x:c r="I14" s="46" t="n">
        <x:v>1</x:v>
      </x:c>
      <x:c r="J14" s="50" t="str">
        <x:f>IF(AND(A14&lt;&gt;"",B14&lt;&gt;"",C14&lt;&gt;"",D14&lt;&gt;"",E14&lt;&gt;"",G14&lt;&gt;"",H14&lt;&gt;""),"完整","请补充")</x:f>
        <x:v>完整</x:v>
      </x:c>
    </x:row>
    <x:row r="15" ht="70" customHeight="1">
      <x:c r="A15" s="46" t="str">
        <x:v>CASE-003</x:v>
      </x:c>
      <x:c r="B15" s="46" t="str">
        <x:v>S1</x:v>
      </x:c>
      <x:c r="C15" s="46" t="str">
        <x:v>H2</x:v>
      </x:c>
      <x:c r="D15" s="46" t="str">
        <x:v>一级提示后仍未形成可执行行动。</x:v>
      </x:c>
      <x:c r="E15" s="46" t="str">
        <x:v>2级｜策略提示</x:v>
      </x:c>
      <x:c r="F15" s="46" t="str">
        <x:v>策略卡</x:v>
      </x:c>
      <x:c r="G15" s="46" t="str">
        <x:v>考虑使用“引用原询盘并设置回复节点”：先说明判断依据，再提出可验证的下一步。</x:v>
      </x:c>
      <x:c r="H15" s="46" t="str">
        <x:v>学生能独立采取行动：简述原函日期和请求，说明业务节点并给出合理回复日期。</x:v>
      </x:c>
      <x:c r="I15" s="46" t="n">
        <x:v>1</x:v>
      </x:c>
      <x:c r="J15" s="50" t="str">
        <x:f>IF(AND(A15&lt;&gt;"",B15&lt;&gt;"",C15&lt;&gt;"",D15&lt;&gt;"",E15&lt;&gt;"",G15&lt;&gt;"",H15&lt;&gt;""),"完整","请补充")</x:f>
        <x:v>完整</x:v>
      </x:c>
    </x:row>
    <x:row r="16" ht="70" customHeight="1">
      <x:c r="A16" s="46" t="str">
        <x:v>CASE-003</x:v>
      </x:c>
      <x:c r="B16" s="46" t="str">
        <x:v>S2</x:v>
      </x:c>
      <x:c r="C16" s="46" t="str">
        <x:v>H1</x:v>
      </x:c>
      <x:c r="D16" s="46" t="str">
        <x:v>学生首次回应未指出该局面的核心信号或风险。</x:v>
      </x:c>
      <x:c r="E16" s="46" t="str">
        <x:v>1级｜观察线索</x:v>
      </x:c>
      <x:c r="F16" s="46" t="str">
        <x:v>问题提示</x:v>
      </x:c>
      <x:c r="G16" s="46" t="str">
        <x:v>请重新观察局面中的关键词和条件：它可能怎样影响交易判断？</x:v>
      </x:c>
      <x:c r="H16" s="46" t="str">
        <x:v>学生能独立说明：对方在测试买方信息边界，应把披露与对等回报绑定。</x:v>
      </x:c>
      <x:c r="I16" s="46" t="n">
        <x:v>1</x:v>
      </x:c>
      <x:c r="J16" s="50" t="str">
        <x:f>IF(AND(A16&lt;&gt;"",B16&lt;&gt;"",C16&lt;&gt;"",D16&lt;&gt;"",E16&lt;&gt;"",G16&lt;&gt;"",H16&lt;&gt;""),"完整","请补充")</x:f>
        <x:v>完整</x:v>
      </x:c>
    </x:row>
    <x:row r="17" ht="70" customHeight="1">
      <x:c r="A17" s="46" t="str">
        <x:v>CASE-003</x:v>
      </x:c>
      <x:c r="B17" s="46" t="str">
        <x:v>S2</x:v>
      </x:c>
      <x:c r="C17" s="46" t="str">
        <x:v>H2</x:v>
      </x:c>
      <x:c r="D17" s="46" t="str">
        <x:v>一级提示后仍未形成可执行行动。</x:v>
      </x:c>
      <x:c r="E17" s="46" t="str">
        <x:v>2级｜策略提示</x:v>
      </x:c>
      <x:c r="F17" s="46" t="str">
        <x:v>策略卡</x:v>
      </x:c>
      <x:c r="G17" s="46" t="str">
        <x:v>考虑使用“分层披露采购信息”：先说明判断依据，再提出可验证的下一步。</x:v>
      </x:c>
      <x:c r="H17" s="46" t="str">
        <x:v>学生能独立采取行动：确认试单、应用和付款偏好，保留预算与最终接受价。</x:v>
      </x:c>
      <x:c r="I17" s="46" t="n">
        <x:v>1</x:v>
      </x:c>
      <x:c r="J17" s="50" t="str">
        <x:f>IF(AND(A17&lt;&gt;"",B17&lt;&gt;"",C17&lt;&gt;"",D17&lt;&gt;"",E17&lt;&gt;"",G17&lt;&gt;"",H17&lt;&gt;""),"完整","请补充")</x:f>
        <x:v>完整</x:v>
      </x:c>
    </x:row>
    <x:row r="18" ht="70" customHeight="1">
      <x:c r="A18" s="46" t="str">
        <x:v>CASE-004</x:v>
      </x:c>
      <x:c r="B18" s="46" t="str">
        <x:v>S1</x:v>
      </x:c>
      <x:c r="C18" s="46" t="str">
        <x:v>H1</x:v>
      </x:c>
      <x:c r="D18" s="46" t="str">
        <x:v>学生首次回应未指出该局面的核心信号或风险。</x:v>
      </x:c>
      <x:c r="E18" s="46" t="str">
        <x:v>1级｜观察线索</x:v>
      </x:c>
      <x:c r="F18" s="46" t="str">
        <x:v>问题提示</x:v>
      </x:c>
      <x:c r="G18" s="46" t="str">
        <x:v>请重新观察局面中的关键词和条件：它可能怎样影响交易判断？</x:v>
      </x:c>
      <x:c r="H18" s="46" t="str">
        <x:v>学生能独立说明：保留语使当前报价缺少明确受约束意旨。</x:v>
      </x:c>
      <x:c r="I18" s="46" t="n">
        <x:v>1</x:v>
      </x:c>
      <x:c r="J18" s="50" t="str">
        <x:f>IF(AND(A18&lt;&gt;"",B18&lt;&gt;"",C18&lt;&gt;"",D18&lt;&gt;"",E18&lt;&gt;"",G18&lt;&gt;"",H18&lt;&gt;""),"完整","请补充")</x:f>
        <x:v>完整</x:v>
      </x:c>
    </x:row>
    <x:row r="19" ht="70" customHeight="1">
      <x:c r="A19" s="46" t="str">
        <x:v>CASE-004</x:v>
      </x:c>
      <x:c r="B19" s="46" t="str">
        <x:v>S1</x:v>
      </x:c>
      <x:c r="C19" s="46" t="str">
        <x:v>H2</x:v>
      </x:c>
      <x:c r="D19" s="46" t="str">
        <x:v>一级提示后仍未形成可执行行动。</x:v>
      </x:c>
      <x:c r="E19" s="46" t="str">
        <x:v>2级｜策略提示</x:v>
      </x:c>
      <x:c r="F19" s="46" t="str">
        <x:v>策略卡</x:v>
      </x:c>
      <x:c r="G19" s="46" t="str">
        <x:v>考虑使用“复述限定语并请求澄清”：先说明判断依据，再提出可验证的下一步。</x:v>
      </x:c>
      <x:c r="H19" s="46" t="str">
        <x:v>学生能独立采取行动：指出限定语的业务影响，询问是否构成 firm offer。</x:v>
      </x:c>
      <x:c r="I19" s="46" t="n">
        <x:v>1</x:v>
      </x:c>
      <x:c r="J19" s="50" t="str">
        <x:f>IF(AND(A19&lt;&gt;"",B19&lt;&gt;"",C19&lt;&gt;"",D19&lt;&gt;"",E19&lt;&gt;"",G19&lt;&gt;"",H19&lt;&gt;""),"完整","请补充")</x:f>
        <x:v>完整</x:v>
      </x:c>
    </x:row>
    <x:row r="20" ht="70" customHeight="1">
      <x:c r="A20" s="46" t="str">
        <x:v>CASE-004</x:v>
      </x:c>
      <x:c r="B20" s="46" t="str">
        <x:v>S2</x:v>
      </x:c>
      <x:c r="C20" s="46" t="str">
        <x:v>H1</x:v>
      </x:c>
      <x:c r="D20" s="46" t="str">
        <x:v>学生首次回应未指出该局面的核心信号或风险。</x:v>
      </x:c>
      <x:c r="E20" s="46" t="str">
        <x:v>1级｜观察线索</x:v>
      </x:c>
      <x:c r="F20" s="46" t="str">
        <x:v>问题提示</x:v>
      </x:c>
      <x:c r="G20" s="46" t="str">
        <x:v>请重新观察局面中的关键词和条件：它可能怎样影响交易判断？</x:v>
      </x:c>
      <x:c r="H20" s="46" t="str">
        <x:v>学生能独立说明：缺少有效期会放大采购决策和市场波动风险。</x:v>
      </x:c>
      <x:c r="I20" s="46" t="n">
        <x:v>1</x:v>
      </x:c>
      <x:c r="J20" s="50" t="str">
        <x:f>IF(AND(A20&lt;&gt;"",B20&lt;&gt;"",C20&lt;&gt;"",D20&lt;&gt;"",E20&lt;&gt;"",G20&lt;&gt;"",H20&lt;&gt;""),"完整","请补充")</x:f>
        <x:v>完整</x:v>
      </x:c>
    </x:row>
    <x:row r="21" ht="70" customHeight="1">
      <x:c r="A21" s="46" t="str">
        <x:v>CASE-004</x:v>
      </x:c>
      <x:c r="B21" s="46" t="str">
        <x:v>S2</x:v>
      </x:c>
      <x:c r="C21" s="46" t="str">
        <x:v>H2</x:v>
      </x:c>
      <x:c r="D21" s="46" t="str">
        <x:v>一级提示后仍未形成可执行行动。</x:v>
      </x:c>
      <x:c r="E21" s="46" t="str">
        <x:v>2级｜策略提示</x:v>
      </x:c>
      <x:c r="F21" s="46" t="str">
        <x:v>策略卡</x:v>
      </x:c>
      <x:c r="G21" s="46" t="str">
        <x:v>考虑使用“用审批需求解释有效期”：先说明判断依据，再提出可验证的下一步。</x:v>
      </x:c>
      <x:c r="H21" s="46" t="str">
        <x:v>学生能独立采取行动：说明内部审批所需天数并提出合理较短有效期。</x:v>
      </x:c>
      <x:c r="I21" s="46" t="n">
        <x:v>1</x:v>
      </x:c>
      <x:c r="J21" s="50" t="str">
        <x:f>IF(AND(A21&lt;&gt;"",B21&lt;&gt;"",C21&lt;&gt;"",D21&lt;&gt;"",E21&lt;&gt;"",G21&lt;&gt;"",H21&lt;&gt;""),"完整","请补充")</x:f>
        <x:v>完整</x:v>
      </x:c>
    </x:row>
    <x:row r="22" ht="70" customHeight="1">
      <x:c r="A22" s="46" t="str">
        <x:v>CASE-005</x:v>
      </x:c>
      <x:c r="B22" s="46" t="str">
        <x:v>S1</x:v>
      </x:c>
      <x:c r="C22" s="46" t="str">
        <x:v>H1</x:v>
      </x:c>
      <x:c r="D22" s="46" t="str">
        <x:v>学生首次回应未指出该局面的核心信号或风险。</x:v>
      </x:c>
      <x:c r="E22" s="46" t="str">
        <x:v>1级｜观察线索</x:v>
      </x:c>
      <x:c r="F22" s="46" t="str">
        <x:v>问题提示</x:v>
      </x:c>
      <x:c r="G22" s="46" t="str">
        <x:v>请重新观察局面中的关键词和条件：它可能怎样影响交易判断？</x:v>
      </x:c>
      <x:c r="H22" s="46" t="str">
        <x:v>学生能独立说明：实盘应逐项复核，不能只关注单价。</x:v>
      </x:c>
      <x:c r="I22" s="46" t="n">
        <x:v>1</x:v>
      </x:c>
      <x:c r="J22" s="50" t="str">
        <x:f>IF(AND(A22&lt;&gt;"",B22&lt;&gt;"",C22&lt;&gt;"",D22&lt;&gt;"",E22&lt;&gt;"",G22&lt;&gt;"",H22&lt;&gt;""),"完整","请补充")</x:f>
        <x:v>完整</x:v>
      </x:c>
    </x:row>
    <x:row r="23" ht="70" customHeight="1">
      <x:c r="A23" s="46" t="str">
        <x:v>CASE-005</x:v>
      </x:c>
      <x:c r="B23" s="46" t="str">
        <x:v>S1</x:v>
      </x:c>
      <x:c r="C23" s="46" t="str">
        <x:v>H2</x:v>
      </x:c>
      <x:c r="D23" s="46" t="str">
        <x:v>一级提示后仍未形成可执行行动。</x:v>
      </x:c>
      <x:c r="E23" s="46" t="str">
        <x:v>2级｜策略提示</x:v>
      </x:c>
      <x:c r="F23" s="46" t="str">
        <x:v>策略卡</x:v>
      </x:c>
      <x:c r="G23" s="46" t="str">
        <x:v>考虑使用“使用实盘要素复核表”：先说明判断依据，再提出可验证的下一步。</x:v>
      </x:c>
      <x:c r="H23" s="46" t="str">
        <x:v>学生能独立采取行动：逐项回读标的、数量、价格术语、付款、装运和有效期。</x:v>
      </x:c>
      <x:c r="I23" s="46" t="n">
        <x:v>1</x:v>
      </x:c>
      <x:c r="J23" s="50" t="str">
        <x:f>IF(AND(A23&lt;&gt;"",B23&lt;&gt;"",C23&lt;&gt;"",D23&lt;&gt;"",E23&lt;&gt;"",G23&lt;&gt;"",H23&lt;&gt;""),"完整","请补充")</x:f>
        <x:v>完整</x:v>
      </x:c>
    </x:row>
    <x:row r="24" ht="70" customHeight="1">
      <x:c r="A24" s="46" t="str">
        <x:v>CASE-005</x:v>
      </x:c>
      <x:c r="B24" s="46" t="str">
        <x:v>S2</x:v>
      </x:c>
      <x:c r="C24" s="46" t="str">
        <x:v>H1</x:v>
      </x:c>
      <x:c r="D24" s="46" t="str">
        <x:v>学生首次回应未指出该局面的核心信号或风险。</x:v>
      </x:c>
      <x:c r="E24" s="46" t="str">
        <x:v>1级｜观察线索</x:v>
      </x:c>
      <x:c r="F24" s="46" t="str">
        <x:v>问题提示</x:v>
      </x:c>
      <x:c r="G24" s="46" t="str">
        <x:v>请重新观察局面中的关键词和条件：它可能怎样影响交易判断？</x:v>
      </x:c>
      <x:c r="H24" s="46" t="str">
        <x:v>学生能独立说明：对实质条件的修改通常是还盘，不能与无条件接受混写。</x:v>
      </x:c>
      <x:c r="I24" s="46" t="n">
        <x:v>1</x:v>
      </x:c>
      <x:c r="J24" s="50" t="str">
        <x:f>IF(AND(A24&lt;&gt;"",B24&lt;&gt;"",C24&lt;&gt;"",D24&lt;&gt;"",E24&lt;&gt;"",G24&lt;&gt;"",H24&lt;&gt;""),"完整","请补充")</x:f>
        <x:v>完整</x:v>
      </x:c>
    </x:row>
    <x:row r="25" ht="70" customHeight="1">
      <x:c r="A25" s="46" t="str">
        <x:v>CASE-005</x:v>
      </x:c>
      <x:c r="B25" s="46" t="str">
        <x:v>S2</x:v>
      </x:c>
      <x:c r="C25" s="46" t="str">
        <x:v>H2</x:v>
      </x:c>
      <x:c r="D25" s="46" t="str">
        <x:v>一级提示后仍未形成可执行行动。</x:v>
      </x:c>
      <x:c r="E25" s="46" t="str">
        <x:v>2级｜策略提示</x:v>
      </x:c>
      <x:c r="F25" s="46" t="str">
        <x:v>策略卡</x:v>
      </x:c>
      <x:c r="G25" s="46" t="str">
        <x:v>考虑使用“区分接受与还盘”：先说明判断依据，再提出可验证的下一步。</x:v>
      </x:c>
      <x:c r="H25" s="46" t="str">
        <x:v>学生能独立采取行动：明确使用 counter-offer 表述，不把实质修改写成接受。</x:v>
      </x:c>
      <x:c r="I25" s="46" t="n">
        <x:v>1</x:v>
      </x:c>
      <x:c r="J25" s="50" t="str">
        <x:f>IF(AND(A25&lt;&gt;"",B25&lt;&gt;"",C25&lt;&gt;"",D25&lt;&gt;"",E25&lt;&gt;"",G25&lt;&gt;"",H25&lt;&gt;""),"完整","请补充")</x:f>
        <x:v>完整</x:v>
      </x:c>
    </x:row>
    <x:row r="26" ht="70" customHeight="1">
      <x:c r="A26" s="46" t="str">
        <x:v>CASE-006</x:v>
      </x:c>
      <x:c r="B26" s="46" t="str">
        <x:v>S1</x:v>
      </x:c>
      <x:c r="C26" s="46" t="str">
        <x:v>H1</x:v>
      </x:c>
      <x:c r="D26" s="46" t="str">
        <x:v>学生首次回应未指出该局面的核心信号或风险。</x:v>
      </x:c>
      <x:c r="E26" s="46" t="str">
        <x:v>1级｜观察线索</x:v>
      </x:c>
      <x:c r="F26" s="46" t="str">
        <x:v>问题提示</x:v>
      </x:c>
      <x:c r="G26" s="46" t="str">
        <x:v>请重新观察局面中的关键词和条件：它可能怎样影响交易判断？</x:v>
      </x:c>
      <x:c r="H26" s="46" t="str">
        <x:v>学生能独立说明：价格主张需要可核实标准和合理区间。</x:v>
      </x:c>
      <x:c r="I26" s="46" t="n">
        <x:v>1</x:v>
      </x:c>
      <x:c r="J26" s="50" t="str">
        <x:f>IF(AND(A26&lt;&gt;"",B26&lt;&gt;"",C26&lt;&gt;"",D26&lt;&gt;"",E26&lt;&gt;"",G26&lt;&gt;"",H26&lt;&gt;""),"完整","请补充")</x:f>
        <x:v>完整</x:v>
      </x:c>
    </x:row>
    <x:row r="27" ht="70" customHeight="1">
      <x:c r="A27" s="46" t="str">
        <x:v>CASE-006</x:v>
      </x:c>
      <x:c r="B27" s="46" t="str">
        <x:v>S1</x:v>
      </x:c>
      <x:c r="C27" s="46" t="str">
        <x:v>H2</x:v>
      </x:c>
      <x:c r="D27" s="46" t="str">
        <x:v>一级提示后仍未形成可执行行动。</x:v>
      </x:c>
      <x:c r="E27" s="46" t="str">
        <x:v>2级｜策略提示</x:v>
      </x:c>
      <x:c r="F27" s="46" t="str">
        <x:v>策略卡</x:v>
      </x:c>
      <x:c r="G27" s="46" t="str">
        <x:v>考虑使用“用客观标准建立还盘锚点”：先说明判断依据，再提出可验证的下一步。</x:v>
      </x:c>
      <x:c r="H27" s="46" t="str">
        <x:v>学生能独立采取行动：先认可价值，再说明依据并提出具体目标价。</x:v>
      </x:c>
      <x:c r="I27" s="46" t="n">
        <x:v>1</x:v>
      </x:c>
      <x:c r="J27" s="50" t="str">
        <x:f>IF(AND(A27&lt;&gt;"",B27&lt;&gt;"",C27&lt;&gt;"",D27&lt;&gt;"",E27&lt;&gt;"",G27&lt;&gt;"",H27&lt;&gt;""),"完整","请补充")</x:f>
        <x:v>完整</x:v>
      </x:c>
    </x:row>
    <x:row r="28" ht="70" customHeight="1">
      <x:c r="A28" s="46" t="str">
        <x:v>CASE-006</x:v>
      </x:c>
      <x:c r="B28" s="46" t="str">
        <x:v>S2</x:v>
      </x:c>
      <x:c r="C28" s="46" t="str">
        <x:v>H1</x:v>
      </x:c>
      <x:c r="D28" s="46" t="str">
        <x:v>学生首次回应未指出该局面的核心信号或风险。</x:v>
      </x:c>
      <x:c r="E28" s="46" t="str">
        <x:v>1级｜观察线索</x:v>
      </x:c>
      <x:c r="F28" s="46" t="str">
        <x:v>问题提示</x:v>
      </x:c>
      <x:c r="G28" s="46" t="str">
        <x:v>请重新观察局面中的关键词和条件：它可能怎样影响交易判断？</x:v>
      </x:c>
      <x:c r="H28" s="46" t="str">
        <x:v>学生能独立说明：价格空间有限时应转向多议题价值交换。</x:v>
      </x:c>
      <x:c r="I28" s="46" t="n">
        <x:v>1</x:v>
      </x:c>
      <x:c r="J28" s="50" t="str">
        <x:f>IF(AND(A28&lt;&gt;"",B28&lt;&gt;"",C28&lt;&gt;"",D28&lt;&gt;"",E28&lt;&gt;"",G28&lt;&gt;"",H28&lt;&gt;""),"完整","请补充")</x:f>
        <x:v>完整</x:v>
      </x:c>
    </x:row>
    <x:row r="29" ht="70" customHeight="1">
      <x:c r="A29" s="46" t="str">
        <x:v>CASE-006</x:v>
      </x:c>
      <x:c r="B29" s="46" t="str">
        <x:v>S2</x:v>
      </x:c>
      <x:c r="C29" s="46" t="str">
        <x:v>H2</x:v>
      </x:c>
      <x:c r="D29" s="46" t="str">
        <x:v>一级提示后仍未形成可执行行动。</x:v>
      </x:c>
      <x:c r="E29" s="46" t="str">
        <x:v>2级｜策略提示</x:v>
      </x:c>
      <x:c r="F29" s="46" t="str">
        <x:v>策略卡</x:v>
      </x:c>
      <x:c r="G29" s="46" t="str">
        <x:v>考虑使用“实施条件让步”：先说明判断依据，再提出可验证的下一步。</x:v>
      </x:c>
      <x:c r="H29" s="46" t="str">
        <x:v>学生能独立采取行动：把价格变化与明确回报绑定。</x:v>
      </x:c>
      <x:c r="I29" s="46" t="n">
        <x:v>1</x:v>
      </x:c>
      <x:c r="J29" s="50" t="str">
        <x:f>IF(AND(A29&lt;&gt;"",B29&lt;&gt;"",C29&lt;&gt;"",D29&lt;&gt;"",E29&lt;&gt;"",G29&lt;&gt;"",H29&lt;&gt;""),"完整","请补充")</x:f>
        <x:v>完整</x:v>
      </x:c>
    </x:row>
    <x:row r="30" ht="70" customHeight="1">
      <x:c r="A30" s="46" t="str">
        <x:v>CASE-007</x:v>
      </x:c>
      <x:c r="B30" s="46" t="str">
        <x:v>S1</x:v>
      </x:c>
      <x:c r="C30" s="46" t="str">
        <x:v>H1</x:v>
      </x:c>
      <x:c r="D30" s="46" t="str">
        <x:v>学生首次回应未指出该局面的核心信号或风险。</x:v>
      </x:c>
      <x:c r="E30" s="46" t="str">
        <x:v>1级｜观察线索</x:v>
      </x:c>
      <x:c r="F30" s="46" t="str">
        <x:v>问题提示</x:v>
      </x:c>
      <x:c r="G30" s="46" t="str">
        <x:v>请重新观察局面中的关键词和条件：它可能怎样影响交易判断？</x:v>
      </x:c>
      <x:c r="H30" s="46" t="str">
        <x:v>学生能独立说明：付款方式背后是信用与收款安全，不只是习惯偏好。</x:v>
      </x:c>
      <x:c r="I30" s="46" t="n">
        <x:v>1</x:v>
      </x:c>
      <x:c r="J30" s="50" t="str">
        <x:f>IF(AND(A30&lt;&gt;"",B30&lt;&gt;"",C30&lt;&gt;"",D30&lt;&gt;"",E30&lt;&gt;"",G30&lt;&gt;"",H30&lt;&gt;""),"完整","请补充")</x:f>
        <x:v>完整</x:v>
      </x:c>
    </x:row>
    <x:row r="31" ht="70" customHeight="1">
      <x:c r="A31" s="46" t="str">
        <x:v>CASE-007</x:v>
      </x:c>
      <x:c r="B31" s="46" t="str">
        <x:v>S1</x:v>
      </x:c>
      <x:c r="C31" s="46" t="str">
        <x:v>H2</x:v>
      </x:c>
      <x:c r="D31" s="46" t="str">
        <x:v>一级提示后仍未形成可执行行动。</x:v>
      </x:c>
      <x:c r="E31" s="46" t="str">
        <x:v>2级｜策略提示</x:v>
      </x:c>
      <x:c r="F31" s="46" t="str">
        <x:v>策略卡</x:v>
      </x:c>
      <x:c r="G31" s="46" t="str">
        <x:v>考虑使用“探询付款立场背后的风险”：先说明判断依据，再提出可验证的下一步。</x:v>
      </x:c>
      <x:c r="H31" s="46" t="str">
        <x:v>学生能独立采取行动：确认其核心关切是银行保障、现金流还是买方信用。</x:v>
      </x:c>
      <x:c r="I31" s="46" t="n">
        <x:v>1</x:v>
      </x:c>
      <x:c r="J31" s="50" t="str">
        <x:f>IF(AND(A31&lt;&gt;"",B31&lt;&gt;"",C31&lt;&gt;"",D31&lt;&gt;"",E31&lt;&gt;"",G31&lt;&gt;"",H31&lt;&gt;""),"完整","请补充")</x:f>
        <x:v>完整</x:v>
      </x:c>
    </x:row>
    <x:row r="32" ht="70" customHeight="1">
      <x:c r="A32" s="46" t="str">
        <x:v>CASE-007</x:v>
      </x:c>
      <x:c r="B32" s="46" t="str">
        <x:v>S2</x:v>
      </x:c>
      <x:c r="C32" s="46" t="str">
        <x:v>H1</x:v>
      </x:c>
      <x:c r="D32" s="46" t="str">
        <x:v>学生首次回应未指出该局面的核心信号或风险。</x:v>
      </x:c>
      <x:c r="E32" s="46" t="str">
        <x:v>1级｜观察线索</x:v>
      </x:c>
      <x:c r="F32" s="46" t="str">
        <x:v>问题提示</x:v>
      </x:c>
      <x:c r="G32" s="46" t="str">
        <x:v>请重新观察局面中的关键词和条件：它可能怎样影响交易判断？</x:v>
      </x:c>
      <x:c r="H32" s="46" t="str">
        <x:v>学生能独立说明：交期改善需要评估数量、库存和履约风险的联动。</x:v>
      </x:c>
      <x:c r="I32" s="46" t="n">
        <x:v>1</x:v>
      </x:c>
      <x:c r="J32" s="50" t="str">
        <x:f>IF(AND(A32&lt;&gt;"",B32&lt;&gt;"",C32&lt;&gt;"",D32&lt;&gt;"",E32&lt;&gt;"",G32&lt;&gt;"",H32&lt;&gt;""),"完整","请补充")</x:f>
        <x:v>完整</x:v>
      </x:c>
    </x:row>
    <x:row r="33" ht="70" customHeight="1">
      <x:c r="A33" s="46" t="str">
        <x:v>CASE-007</x:v>
      </x:c>
      <x:c r="B33" s="46" t="str">
        <x:v>S2</x:v>
      </x:c>
      <x:c r="C33" s="46" t="str">
        <x:v>H2</x:v>
      </x:c>
      <x:c r="D33" s="46" t="str">
        <x:v>一级提示后仍未形成可执行行动。</x:v>
      </x:c>
      <x:c r="E33" s="46" t="str">
        <x:v>2级｜策略提示</x:v>
      </x:c>
      <x:c r="F33" s="46" t="str">
        <x:v>策略卡</x:v>
      </x:c>
      <x:c r="G33" s="46" t="str">
        <x:v>考虑使用“交换交期与数量条件”：先说明判断依据，再提出可验证的下一步。</x:v>
      </x:c>
      <x:c r="H33" s="46" t="str">
        <x:v>学生能独立采取行动：确认提量能带来的具体天数，并设置不可延误条件。</x:v>
      </x:c>
      <x:c r="I33" s="46" t="n">
        <x:v>1</x:v>
      </x:c>
      <x:c r="J33" s="50" t="str">
        <x:f>IF(AND(A33&lt;&gt;"",B33&lt;&gt;"",C33&lt;&gt;"",D33&lt;&gt;"",E33&lt;&gt;"",G33&lt;&gt;"",H33&lt;&gt;""),"完整","请补充")</x:f>
        <x:v>完整</x:v>
      </x:c>
    </x:row>
    <x:row r="34" ht="70" customHeight="1">
      <x:c r="A34" s="46" t="str">
        <x:v>CASE-008</x:v>
      </x:c>
      <x:c r="B34" s="46" t="str">
        <x:v>S1</x:v>
      </x:c>
      <x:c r="C34" s="46" t="str">
        <x:v>H1</x:v>
      </x:c>
      <x:c r="D34" s="46" t="str">
        <x:v>学生首次回应未指出该局面的核心信号或风险。</x:v>
      </x:c>
      <x:c r="E34" s="46" t="str">
        <x:v>1级｜观察线索</x:v>
      </x:c>
      <x:c r="F34" s="46" t="str">
        <x:v>问题提示</x:v>
      </x:c>
      <x:c r="G34" s="46" t="str">
        <x:v>请重新观察局面中的关键词和条件：它可能怎样影响交易判断？</x:v>
      </x:c>
      <x:c r="H34" s="46" t="str">
        <x:v>学生能独立说明：终局应判断继续压价的边际收益与关系成本。</x:v>
      </x:c>
      <x:c r="I34" s="46" t="n">
        <x:v>1</x:v>
      </x:c>
      <x:c r="J34" s="50" t="str">
        <x:f>IF(AND(A34&lt;&gt;"",B34&lt;&gt;"",C34&lt;&gt;"",D34&lt;&gt;"",E34&lt;&gt;"",G34&lt;&gt;"",H34&lt;&gt;""),"完整","请补充")</x:f>
        <x:v>完整</x:v>
      </x:c>
    </x:row>
    <x:row r="35" ht="70" customHeight="1">
      <x:c r="A35" s="46" t="str">
        <x:v>CASE-008</x:v>
      </x:c>
      <x:c r="B35" s="46" t="str">
        <x:v>S1</x:v>
      </x:c>
      <x:c r="C35" s="46" t="str">
        <x:v>H2</x:v>
      </x:c>
      <x:c r="D35" s="46" t="str">
        <x:v>一级提示后仍未形成可执行行动。</x:v>
      </x:c>
      <x:c r="E35" s="46" t="str">
        <x:v>2级｜策略提示</x:v>
      </x:c>
      <x:c r="F35" s="46" t="str">
        <x:v>策略卡</x:v>
      </x:c>
      <x:c r="G35" s="46" t="str">
        <x:v>考虑使用“用有条件接受换取增值”：先说明判断依据，再提出可验证的下一步。</x:v>
      </x:c>
      <x:c r="H35" s="46" t="str">
        <x:v>学生能独立采取行动：明确表示可接受价格，前提是对方确认具体增值。</x:v>
      </x:c>
      <x:c r="I35" s="46" t="n">
        <x:v>1</x:v>
      </x:c>
      <x:c r="J35" s="50" t="str">
        <x:f>IF(AND(A35&lt;&gt;"",B35&lt;&gt;"",C35&lt;&gt;"",D35&lt;&gt;"",E35&lt;&gt;"",G35&lt;&gt;"",H35&lt;&gt;""),"完整","请补充")</x:f>
        <x:v>完整</x:v>
      </x:c>
    </x:row>
    <x:row r="36" ht="70" customHeight="1">
      <x:c r="A36" s="46" t="str">
        <x:v>CASE-008</x:v>
      </x:c>
      <x:c r="B36" s="46" t="str">
        <x:v>S2</x:v>
      </x:c>
      <x:c r="C36" s="46" t="str">
        <x:v>H1</x:v>
      </x:c>
      <x:c r="D36" s="46" t="str">
        <x:v>学生首次回应未指出该局面的核心信号或风险。</x:v>
      </x:c>
      <x:c r="E36" s="46" t="str">
        <x:v>1级｜观察线索</x:v>
      </x:c>
      <x:c r="F36" s="46" t="str">
        <x:v>问题提示</x:v>
      </x:c>
      <x:c r="G36" s="46" t="str">
        <x:v>请重新观察局面中的关键词和条件：它可能怎样影响交易判断？</x:v>
      </x:c>
      <x:c r="H36" s="46" t="str">
        <x:v>学生能独立说明：非价格价值只有被具体化并纳入条款才可执行。</x:v>
      </x:c>
      <x:c r="I36" s="46" t="n">
        <x:v>1</x:v>
      </x:c>
      <x:c r="J36" s="50" t="str">
        <x:f>IF(AND(A36&lt;&gt;"",B36&lt;&gt;"",C36&lt;&gt;"",D36&lt;&gt;"",E36&lt;&gt;"",G36&lt;&gt;"",H36&lt;&gt;""),"完整","请补充")</x:f>
        <x:v>完整</x:v>
      </x:c>
    </x:row>
    <x:row r="37" ht="70" customHeight="1">
      <x:c r="A37" s="46" t="str">
        <x:v>CASE-008</x:v>
      </x:c>
      <x:c r="B37" s="46" t="str">
        <x:v>S2</x:v>
      </x:c>
      <x:c r="C37" s="46" t="str">
        <x:v>H2</x:v>
      </x:c>
      <x:c r="D37" s="46" t="str">
        <x:v>一级提示后仍未形成可执行行动。</x:v>
      </x:c>
      <x:c r="E37" s="46" t="str">
        <x:v>2级｜策略提示</x:v>
      </x:c>
      <x:c r="F37" s="46" t="str">
        <x:v>策略卡</x:v>
      </x:c>
      <x:c r="G37" s="46" t="str">
        <x:v>考虑使用“量化并写入增值条款”：先说明判断依据，再提出可验证的下一步。</x:v>
      </x:c>
      <x:c r="H37" s="46" t="str">
        <x:v>学生能独立采取行动：确认期限、数量、响应时间和费用归属。</x:v>
      </x:c>
      <x:c r="I37" s="46" t="n">
        <x:v>1</x:v>
      </x:c>
      <x:c r="J37" s="50" t="str">
        <x:f>IF(AND(A37&lt;&gt;"",B37&lt;&gt;"",C37&lt;&gt;"",D37&lt;&gt;"",E37&lt;&gt;"",G37&lt;&gt;"",H37&lt;&gt;""),"完整","请补充")</x:f>
        <x:v>完整</x:v>
      </x:c>
    </x:row>
    <x:row r="38" ht="70" customHeight="1">
      <x:c r="A38" s="46" t="str">
        <x:v>CASE-009</x:v>
      </x:c>
      <x:c r="B38" s="46" t="str">
        <x:v>S1</x:v>
      </x:c>
      <x:c r="C38" s="46" t="str">
        <x:v>H1</x:v>
      </x:c>
      <x:c r="D38" s="46" t="str">
        <x:v>学生首次回应未指出该局面的核心信号或风险。</x:v>
      </x:c>
      <x:c r="E38" s="46" t="str">
        <x:v>1级｜观察线索</x:v>
      </x:c>
      <x:c r="F38" s="46" t="str">
        <x:v>问题提示</x:v>
      </x:c>
      <x:c r="G38" s="46" t="str">
        <x:v>请重新观察局面中的关键词和条件：它可能怎样影响交易判断？</x:v>
      </x:c>
      <x:c r="H38" s="46" t="str">
        <x:v>学生能独立说明：成交前需形成单一、完整的共同理解。</x:v>
      </x:c>
      <x:c r="I38" s="46" t="n">
        <x:v>1</x:v>
      </x:c>
      <x:c r="J38" s="50" t="str">
        <x:f>IF(AND(A38&lt;&gt;"",B38&lt;&gt;"",C38&lt;&gt;"",D38&lt;&gt;"",E38&lt;&gt;"",G38&lt;&gt;"",H38&lt;&gt;""),"完整","请补充")</x:f>
        <x:v>完整</x:v>
      </x:c>
    </x:row>
    <x:row r="39" ht="70" customHeight="1">
      <x:c r="A39" s="46" t="str">
        <x:v>CASE-009</x:v>
      </x:c>
      <x:c r="B39" s="46" t="str">
        <x:v>S1</x:v>
      </x:c>
      <x:c r="C39" s="46" t="str">
        <x:v>H2</x:v>
      </x:c>
      <x:c r="D39" s="46" t="str">
        <x:v>一级提示后仍未形成可执行行动。</x:v>
      </x:c>
      <x:c r="E39" s="46" t="str">
        <x:v>2级｜策略提示</x:v>
      </x:c>
      <x:c r="F39" s="46" t="str">
        <x:v>策略卡</x:v>
      </x:c>
      <x:c r="G39" s="46" t="str">
        <x:v>考虑使用“逐项镜像复述成交条款”：先说明判断依据，再提出可验证的下一步。</x:v>
      </x:c>
      <x:c r="H39" s="46" t="str">
        <x:v>学生能独立采取行动：按标的、数量、单价总额、术语、付款、交期和增值逐项确认。</x:v>
      </x:c>
      <x:c r="I39" s="46" t="n">
        <x:v>1</x:v>
      </x:c>
      <x:c r="J39" s="50" t="str">
        <x:f>IF(AND(A39&lt;&gt;"",B39&lt;&gt;"",C39&lt;&gt;"",D39&lt;&gt;"",E39&lt;&gt;"",G39&lt;&gt;"",H39&lt;&gt;""),"完整","请补充")</x:f>
        <x:v>完整</x:v>
      </x:c>
    </x:row>
    <x:row r="40" ht="70" customHeight="1">
      <x:c r="A40" s="46" t="str">
        <x:v>CASE-009</x:v>
      </x:c>
      <x:c r="B40" s="46" t="str">
        <x:v>S2</x:v>
      </x:c>
      <x:c r="C40" s="46" t="str">
        <x:v>H1</x:v>
      </x:c>
      <x:c r="D40" s="46" t="str">
        <x:v>学生首次回应未指出该局面的核心信号或风险。</x:v>
      </x:c>
      <x:c r="E40" s="46" t="str">
        <x:v>1级｜观察线索</x:v>
      </x:c>
      <x:c r="F40" s="46" t="str">
        <x:v>问题提示</x:v>
      </x:c>
      <x:c r="G40" s="46" t="str">
        <x:v>请重新观察局面中的关键词和条件：它可能怎样影响交易判断？</x:v>
      </x:c>
      <x:c r="H40" s="46" t="str">
        <x:v>学生能独立说明：签署前必须逐项比对谈判记录和正式文本。</x:v>
      </x:c>
      <x:c r="I40" s="46" t="n">
        <x:v>1</x:v>
      </x:c>
      <x:c r="J40" s="50" t="str">
        <x:f>IF(AND(A40&lt;&gt;"",B40&lt;&gt;"",C40&lt;&gt;"",D40&lt;&gt;"",E40&lt;&gt;"",G40&lt;&gt;"",H40&lt;&gt;""),"完整","请补充")</x:f>
        <x:v>完整</x:v>
      </x:c>
    </x:row>
    <x:row r="41" ht="70" customHeight="1">
      <x:c r="A41" s="46" t="str">
        <x:v>CASE-009</x:v>
      </x:c>
      <x:c r="B41" s="46" t="str">
        <x:v>S2</x:v>
      </x:c>
      <x:c r="C41" s="46" t="str">
        <x:v>H2</x:v>
      </x:c>
      <x:c r="D41" s="46" t="str">
        <x:v>一级提示后仍未形成可执行行动。</x:v>
      </x:c>
      <x:c r="E41" s="46" t="str">
        <x:v>2级｜策略提示</x:v>
      </x:c>
      <x:c r="F41" s="46" t="str">
        <x:v>策略卡</x:v>
      </x:c>
      <x:c r="G41" s="46" t="str">
        <x:v>考虑使用“对照表审查销售确认书”：先说明判断依据，再提出可验证的下一步。</x:v>
      </x:c>
      <x:c r="H41" s="46" t="str">
        <x:v>学生能独立采取行动：逐字段与成交清单比对并标出偏差。</x:v>
      </x:c>
      <x:c r="I41" s="46" t="n">
        <x:v>1</x:v>
      </x:c>
      <x:c r="J41" s="50" t="str">
        <x:f>IF(AND(A41&lt;&gt;"",B41&lt;&gt;"",C41&lt;&gt;"",D41&lt;&gt;"",E41&lt;&gt;"",G41&lt;&gt;"",H41&lt;&gt;""),"完整","请补充")</x:f>
        <x:v>完整</x:v>
      </x:c>
    </x:row>
    <x:row r="42" ht="70" customHeight="1">
      <x:c r="A42" s="46" t="str">
        <x:v>CASE-010</x:v>
      </x:c>
      <x:c r="B42" s="46" t="str">
        <x:v>S1</x:v>
      </x:c>
      <x:c r="C42" s="46" t="str">
        <x:v>H1</x:v>
      </x:c>
      <x:c r="D42" s="46" t="str">
        <x:v>学生首次回应未指出该局面的核心信号或风险。</x:v>
      </x:c>
      <x:c r="E42" s="46" t="str">
        <x:v>1级｜观察线索</x:v>
      </x:c>
      <x:c r="F42" s="46" t="str">
        <x:v>问题提示</x:v>
      </x:c>
      <x:c r="G42" s="46" t="str">
        <x:v>请重新观察局面中的关键词和条件：它可能怎样影响交易判断？</x:v>
      </x:c>
      <x:c r="H42" s="46" t="str">
        <x:v>学生能独立说明：开证是触发排产和装运期起算的关键前置事件。</x:v>
      </x:c>
      <x:c r="I42" s="46" t="n">
        <x:v>1</x:v>
      </x:c>
      <x:c r="J42" s="50" t="str">
        <x:f>IF(AND(A42&lt;&gt;"",B42&lt;&gt;"",C42&lt;&gt;"",D42&lt;&gt;"",E42&lt;&gt;"",G42&lt;&gt;"",H42&lt;&gt;""),"完整","请补充")</x:f>
        <x:v>完整</x:v>
      </x:c>
    </x:row>
    <x:row r="43" ht="70" customHeight="1">
      <x:c r="A43" s="46" t="str">
        <x:v>CASE-010</x:v>
      </x:c>
      <x:c r="B43" s="46" t="str">
        <x:v>S1</x:v>
      </x:c>
      <x:c r="C43" s="46" t="str">
        <x:v>H2</x:v>
      </x:c>
      <x:c r="D43" s="46" t="str">
        <x:v>一级提示后仍未形成可执行行动。</x:v>
      </x:c>
      <x:c r="E43" s="46" t="str">
        <x:v>2级｜策略提示</x:v>
      </x:c>
      <x:c r="F43" s="46" t="str">
        <x:v>策略卡</x:v>
      </x:c>
      <x:c r="G43" s="46" t="str">
        <x:v>考虑使用“用交期影响说明开证紧迫性”：先说明判断依据，再提出可验证的下一步。</x:v>
      </x:c>
      <x:c r="H43" s="46" t="str">
        <x:v>学生能独立采取行动：把提醒与合同起算点和业务后果连接。</x:v>
      </x:c>
      <x:c r="I43" s="46" t="n">
        <x:v>1</x:v>
      </x:c>
      <x:c r="J43" s="50" t="str">
        <x:f>IF(AND(A43&lt;&gt;"",B43&lt;&gt;"",C43&lt;&gt;"",D43&lt;&gt;"",E43&lt;&gt;"",G43&lt;&gt;"",H43&lt;&gt;""),"完整","请补充")</x:f>
        <x:v>完整</x:v>
      </x:c>
    </x:row>
    <x:row r="44" ht="70" customHeight="1">
      <x:c r="A44" s="46" t="str">
        <x:v>CASE-010</x:v>
      </x:c>
      <x:c r="B44" s="46" t="str">
        <x:v>S2</x:v>
      </x:c>
      <x:c r="C44" s="46" t="str">
        <x:v>H1</x:v>
      </x:c>
      <x:c r="D44" s="46" t="str">
        <x:v>学生首次回应未指出该局面的核心信号或风险。</x:v>
      </x:c>
      <x:c r="E44" s="46" t="str">
        <x:v>1级｜观察线索</x:v>
      </x:c>
      <x:c r="F44" s="46" t="str">
        <x:v>问题提示</x:v>
      </x:c>
      <x:c r="G44" s="46" t="str">
        <x:v>请重新观察局面中的关键词和条件：它可能怎样影响交易判断？</x:v>
      </x:c>
      <x:c r="H44" s="46" t="str">
        <x:v>学生能独立说明：开证前必须让证内条款与合同和可执行流程一致。</x:v>
      </x:c>
      <x:c r="I44" s="46" t="n">
        <x:v>1</x:v>
      </x:c>
      <x:c r="J44" s="50" t="str">
        <x:f>IF(AND(A44&lt;&gt;"",B44&lt;&gt;"",C44&lt;&gt;"",D44&lt;&gt;"",E44&lt;&gt;"",G44&lt;&gt;"",H44&lt;&gt;""),"完整","请补充")</x:f>
        <x:v>完整</x:v>
      </x:c>
    </x:row>
    <x:row r="45" ht="70" customHeight="1">
      <x:c r="A45" s="46" t="str">
        <x:v>CASE-010</x:v>
      </x:c>
      <x:c r="B45" s="46" t="str">
        <x:v>S2</x:v>
      </x:c>
      <x:c r="C45" s="46" t="str">
        <x:v>H2</x:v>
      </x:c>
      <x:c r="D45" s="46" t="str">
        <x:v>一级提示后仍未形成可执行行动。</x:v>
      </x:c>
      <x:c r="E45" s="46" t="str">
        <x:v>2级｜策略提示</x:v>
      </x:c>
      <x:c r="F45" s="46" t="str">
        <x:v>策略卡</x:v>
      </x:c>
      <x:c r="G45" s="46" t="str">
        <x:v>考虑使用“开证前执行条款清单复核”：先说明判断依据，再提出可验证的下一步。</x:v>
      </x:c>
      <x:c r="H45" s="46" t="str">
        <x:v>学生能独立采取行动：核对受益人、金额、有效期、装运日、单据和转船分批。</x:v>
      </x:c>
      <x:c r="I45" s="46" t="n">
        <x:v>1</x:v>
      </x:c>
      <x:c r="J45" s="50" t="str">
        <x:f>IF(AND(A45&lt;&gt;"",B45&lt;&gt;"",C45&lt;&gt;"",D45&lt;&gt;"",E45&lt;&gt;"",G45&lt;&gt;"",H45&lt;&gt;""),"完整","请补充")</x:f>
        <x:v>完整</x:v>
      </x:c>
    </x:row>
    <x:row r="46" ht="70" customHeight="1">
      <x:c r="A46" s="46" t="str">
        <x:v>CASE-011</x:v>
      </x:c>
      <x:c r="B46" s="46" t="str">
        <x:v>S1</x:v>
      </x:c>
      <x:c r="C46" s="46" t="str">
        <x:v>H1</x:v>
      </x:c>
      <x:c r="D46" s="46" t="str">
        <x:v>学生首次回应未指出该局面的核心信号或风险。</x:v>
      </x:c>
      <x:c r="E46" s="46" t="str">
        <x:v>1级｜观察线索</x:v>
      </x:c>
      <x:c r="F46" s="46" t="str">
        <x:v>问题提示</x:v>
      </x:c>
      <x:c r="G46" s="46" t="str">
        <x:v>请重新观察局面中的关键词和条件：它可能怎样影响交易判断？</x:v>
      </x:c>
      <x:c r="H46" s="46" t="str">
        <x:v>学生能独立说明：笼统包装表述无法验证是否适合精密电子产品。</x:v>
      </x:c>
      <x:c r="I46" s="46" t="n">
        <x:v>1</x:v>
      </x:c>
      <x:c r="J46" s="50" t="str">
        <x:f>IF(AND(A46&lt;&gt;"",B46&lt;&gt;"",C46&lt;&gt;"",D46&lt;&gt;"",E46&lt;&gt;"",G46&lt;&gt;"",H46&lt;&gt;""),"完整","请补充")</x:f>
        <x:v>完整</x:v>
      </x:c>
    </x:row>
    <x:row r="47" ht="70" customHeight="1">
      <x:c r="A47" s="46" t="str">
        <x:v>CASE-011</x:v>
      </x:c>
      <x:c r="B47" s="46" t="str">
        <x:v>S1</x:v>
      </x:c>
      <x:c r="C47" s="46" t="str">
        <x:v>H2</x:v>
      </x:c>
      <x:c r="D47" s="46" t="str">
        <x:v>一级提示后仍未形成可执行行动。</x:v>
      </x:c>
      <x:c r="E47" s="46" t="str">
        <x:v>2级｜策略提示</x:v>
      </x:c>
      <x:c r="F47" s="46" t="str">
        <x:v>策略卡</x:v>
      </x:c>
      <x:c r="G47" s="46" t="str">
        <x:v>考虑使用“按风险提出分层包装要求”：先说明判断依据，再提出可验证的下一步。</x:v>
      </x:c>
      <x:c r="H47" s="46" t="str">
        <x:v>学生能独立采取行动：分别规定防静电袋、干燥剂、缓冲、内箱和外箱性能。</x:v>
      </x:c>
      <x:c r="I47" s="46" t="n">
        <x:v>1</x:v>
      </x:c>
      <x:c r="J47" s="50" t="str">
        <x:f>IF(AND(A47&lt;&gt;"",B47&lt;&gt;"",C47&lt;&gt;"",D47&lt;&gt;"",E47&lt;&gt;"",G47&lt;&gt;"",H47&lt;&gt;""),"完整","请补充")</x:f>
        <x:v>完整</x:v>
      </x:c>
    </x:row>
    <x:row r="48" ht="70" customHeight="1">
      <x:c r="A48" s="46" t="str">
        <x:v>CASE-011</x:v>
      </x:c>
      <x:c r="B48" s="46" t="str">
        <x:v>S2</x:v>
      </x:c>
      <x:c r="C48" s="46" t="str">
        <x:v>H1</x:v>
      </x:c>
      <x:c r="D48" s="46" t="str">
        <x:v>学生首次回应未指出该局面的核心信号或风险。</x:v>
      </x:c>
      <x:c r="E48" s="46" t="str">
        <x:v>1级｜观察线索</x:v>
      </x:c>
      <x:c r="F48" s="46" t="str">
        <x:v>问题提示</x:v>
      </x:c>
      <x:c r="G48" s="46" t="str">
        <x:v>请重新观察局面中的关键词和条件：它可能怎样影响交易判断？</x:v>
      </x:c>
      <x:c r="H48" s="46" t="str">
        <x:v>学生能独立说明：运输唛头应支持收货人、目的地、箱号和操作提示识别。</x:v>
      </x:c>
      <x:c r="I48" s="46" t="n">
        <x:v>1</x:v>
      </x:c>
      <x:c r="J48" s="50" t="str">
        <x:f>IF(AND(A48&lt;&gt;"",B48&lt;&gt;"",C48&lt;&gt;"",D48&lt;&gt;"",E48&lt;&gt;"",G48&lt;&gt;"",H48&lt;&gt;""),"完整","请补充")</x:f>
        <x:v>完整</x:v>
      </x:c>
    </x:row>
    <x:row r="49" ht="70" customHeight="1">
      <x:c r="A49" s="46" t="str">
        <x:v>CASE-011</x:v>
      </x:c>
      <x:c r="B49" s="46" t="str">
        <x:v>S2</x:v>
      </x:c>
      <x:c r="C49" s="46" t="str">
        <x:v>H2</x:v>
      </x:c>
      <x:c r="D49" s="46" t="str">
        <x:v>一级提示后仍未形成可执行行动。</x:v>
      </x:c>
      <x:c r="E49" s="46" t="str">
        <x:v>2级｜策略提示</x:v>
      </x:c>
      <x:c r="F49" s="46" t="str">
        <x:v>策略卡</x:v>
      </x:c>
      <x:c r="G49" s="46" t="str">
        <x:v>考虑使用“建立标准化唛头字段”：先说明判断依据，再提出可验证的下一步。</x:v>
      </x:c>
      <x:c r="H49" s="46" t="str">
        <x:v>学生能独立采取行动：列出收货人、合同号、目的港、箱号、毛净重和操作标志。</x:v>
      </x:c>
      <x:c r="I49" s="46" t="n">
        <x:v>1</x:v>
      </x:c>
      <x:c r="J49" s="50" t="str">
        <x:f>IF(AND(A49&lt;&gt;"",B49&lt;&gt;"",C49&lt;&gt;"",D49&lt;&gt;"",E49&lt;&gt;"",G49&lt;&gt;"",H49&lt;&gt;""),"完整","请补充")</x:f>
        <x:v>完整</x:v>
      </x:c>
    </x:row>
    <x:row r="50" ht="70" customHeight="1">
      <x:c r="A50" s="46" t="str">
        <x:v>CASE-012</x:v>
      </x:c>
      <x:c r="B50" s="46" t="str">
        <x:v>S1</x:v>
      </x:c>
      <x:c r="C50" s="46" t="str">
        <x:v>H1</x:v>
      </x:c>
      <x:c r="D50" s="46" t="str">
        <x:v>学生首次回应未指出该局面的核心信号或风险。</x:v>
      </x:c>
      <x:c r="E50" s="46" t="str">
        <x:v>1级｜观察线索</x:v>
      </x:c>
      <x:c r="F50" s="46" t="str">
        <x:v>问题提示</x:v>
      </x:c>
      <x:c r="G50" s="46" t="str">
        <x:v>请重新观察局面中的关键词和条件：它可能怎样影响交易判断？</x:v>
      </x:c>
      <x:c r="H50" s="46" t="str">
        <x:v>学生能独立说明：是否接受分批取决于项目、成本和收货能力，且需在 L/C 明确。</x:v>
      </x:c>
      <x:c r="I50" s="46" t="n">
        <x:v>1</x:v>
      </x:c>
      <x:c r="J50" s="50" t="str">
        <x:f>IF(AND(A50&lt;&gt;"",B50&lt;&gt;"",C50&lt;&gt;"",D50&lt;&gt;"",E50&lt;&gt;"",G50&lt;&gt;"",H50&lt;&gt;""),"完整","请补充")</x:f>
        <x:v>完整</x:v>
      </x:c>
    </x:row>
    <x:row r="51" ht="70" customHeight="1">
      <x:c r="A51" s="46" t="str">
        <x:v>CASE-012</x:v>
      </x:c>
      <x:c r="B51" s="46" t="str">
        <x:v>S1</x:v>
      </x:c>
      <x:c r="C51" s="46" t="str">
        <x:v>H2</x:v>
      </x:c>
      <x:c r="D51" s="46" t="str">
        <x:v>一级提示后仍未形成可执行行动。</x:v>
      </x:c>
      <x:c r="E51" s="46" t="str">
        <x:v>2级｜策略提示</x:v>
      </x:c>
      <x:c r="F51" s="46" t="str">
        <x:v>策略卡</x:v>
      </x:c>
      <x:c r="G51" s="46" t="str">
        <x:v>考虑使用“以项目完整性说明拒绝分批”：先说明判断依据，再提出可验证的下一步。</x:v>
      </x:c>
      <x:c r="H51" s="46" t="str">
        <x:v>学生能独立采取行动：说明业务依据并要求一次装运。</x:v>
      </x:c>
      <x:c r="I51" s="46" t="n">
        <x:v>1</x:v>
      </x:c>
      <x:c r="J51" s="50" t="str">
        <x:f>IF(AND(A51&lt;&gt;"",B51&lt;&gt;"",C51&lt;&gt;"",D51&lt;&gt;"",E51&lt;&gt;"",G51&lt;&gt;"",H51&lt;&gt;""),"完整","请补充")</x:f>
        <x:v>完整</x:v>
      </x:c>
    </x:row>
    <x:row r="52" ht="70" customHeight="1">
      <x:c r="A52" s="46" t="str">
        <x:v>CASE-012</x:v>
      </x:c>
      <x:c r="B52" s="46" t="str">
        <x:v>S2</x:v>
      </x:c>
      <x:c r="C52" s="46" t="str">
        <x:v>H1</x:v>
      </x:c>
      <x:c r="D52" s="46" t="str">
        <x:v>学生首次回应未指出该局面的核心信号或风险。</x:v>
      </x:c>
      <x:c r="E52" s="46" t="str">
        <x:v>1级｜观察线索</x:v>
      </x:c>
      <x:c r="F52" s="46" t="str">
        <x:v>问题提示</x:v>
      </x:c>
      <x:c r="G52" s="46" t="str">
        <x:v>请重新观察局面中的关键词和条件：它可能怎样影响交易判断？</x:v>
      </x:c>
      <x:c r="H52" s="46" t="str">
        <x:v>学生能独立说明：转船可以接受，但需验证航程、责任和最迟到货。</x:v>
      </x:c>
      <x:c r="I52" s="46" t="n">
        <x:v>1</x:v>
      </x:c>
      <x:c r="J52" s="50" t="str">
        <x:f>IF(AND(A52&lt;&gt;"",B52&lt;&gt;"",C52&lt;&gt;"",D52&lt;&gt;"",E52&lt;&gt;"",G52&lt;&gt;"",H52&lt;&gt;""),"完整","请补充")</x:f>
        <x:v>完整</x:v>
      </x:c>
    </x:row>
    <x:row r="53" ht="70" customHeight="1">
      <x:c r="A53" s="46" t="str">
        <x:v>CASE-012</x:v>
      </x:c>
      <x:c r="B53" s="46" t="str">
        <x:v>S2</x:v>
      </x:c>
      <x:c r="C53" s="46" t="str">
        <x:v>H2</x:v>
      </x:c>
      <x:c r="D53" s="46" t="str">
        <x:v>一级提示后仍未形成可执行行动。</x:v>
      </x:c>
      <x:c r="E53" s="46" t="str">
        <x:v>2级｜策略提示</x:v>
      </x:c>
      <x:c r="F53" s="46" t="str">
        <x:v>策略卡</x:v>
      </x:c>
      <x:c r="G53" s="46" t="str">
        <x:v>考虑使用“有条件接受转船”：先说明判断依据，再提出可验证的下一步。</x:v>
      </x:c>
      <x:c r="H53" s="46" t="str">
        <x:v>学生能独立采取行动：将接受与中转港、总交期、承运安排和通知绑定。</x:v>
      </x:c>
      <x:c r="I53" s="46" t="n">
        <x:v>1</x:v>
      </x:c>
      <x:c r="J53" s="50" t="str">
        <x:f>IF(AND(A53&lt;&gt;"",B53&lt;&gt;"",C53&lt;&gt;"",D53&lt;&gt;"",E53&lt;&gt;"",G53&lt;&gt;"",H53&lt;&gt;""),"完整","请补充")</x:f>
        <x:v>完整</x:v>
      </x:c>
    </x:row>
    <x:row r="54" ht="70" customHeight="1">
      <x:c r="A54" s="46" t="str">
        <x:v>CASE-013</x:v>
      </x:c>
      <x:c r="B54" s="46" t="str">
        <x:v>S1</x:v>
      </x:c>
      <x:c r="C54" s="46" t="str">
        <x:v>H1</x:v>
      </x:c>
      <x:c r="D54" s="46" t="str">
        <x:v>学生首次回应未指出该局面的核心信号或风险。</x:v>
      </x:c>
      <x:c r="E54" s="46" t="str">
        <x:v>1级｜观察线索</x:v>
      </x:c>
      <x:c r="F54" s="46" t="str">
        <x:v>问题提示</x:v>
      </x:c>
      <x:c r="G54" s="46" t="str">
        <x:v>请重新观察局面中的关键词和条件：它可能怎样影响交易判断？</x:v>
      </x:c>
      <x:c r="H54" s="46" t="str">
        <x:v>学生能独立说明：日期字段需从实际装运和银行流程联动审核。</x:v>
      </x:c>
      <x:c r="I54" s="46" t="n">
        <x:v>1</x:v>
      </x:c>
      <x:c r="J54" s="50" t="str">
        <x:f>IF(AND(A54&lt;&gt;"",B54&lt;&gt;"",C54&lt;&gt;"",D54&lt;&gt;"",E54&lt;&gt;"",G54&lt;&gt;"",H54&lt;&gt;""),"完整","请补充")</x:f>
        <x:v>完整</x:v>
      </x:c>
    </x:row>
    <x:row r="55" ht="70" customHeight="1">
      <x:c r="A55" s="46" t="str">
        <x:v>CASE-013</x:v>
      </x:c>
      <x:c r="B55" s="46" t="str">
        <x:v>S1</x:v>
      </x:c>
      <x:c r="C55" s="46" t="str">
        <x:v>H2</x:v>
      </x:c>
      <x:c r="D55" s="46" t="str">
        <x:v>一级提示后仍未形成可执行行动。</x:v>
      </x:c>
      <x:c r="E55" s="46" t="str">
        <x:v>2级｜策略提示</x:v>
      </x:c>
      <x:c r="F55" s="46" t="str">
        <x:v>策略卡</x:v>
      </x:c>
      <x:c r="G55" s="46" t="str">
        <x:v>考虑使用“倒推审核三类关键日期”：先说明判断依据，再提出可验证的下一步。</x:v>
      </x:c>
      <x:c r="H55" s="46" t="str">
        <x:v>学生能独立采取行动：从制单和银行递交时间倒推最小可执行窗口。</x:v>
      </x:c>
      <x:c r="I55" s="46" t="n">
        <x:v>1</x:v>
      </x:c>
      <x:c r="J55" s="50" t="str">
        <x:f>IF(AND(A55&lt;&gt;"",B55&lt;&gt;"",C55&lt;&gt;"",D55&lt;&gt;"",E55&lt;&gt;"",G55&lt;&gt;"",H55&lt;&gt;""),"完整","请补充")</x:f>
        <x:v>完整</x:v>
      </x:c>
    </x:row>
    <x:row r="56" ht="70" customHeight="1">
      <x:c r="A56" s="46" t="str">
        <x:v>CASE-013</x:v>
      </x:c>
      <x:c r="B56" s="46" t="str">
        <x:v>S2</x:v>
      </x:c>
      <x:c r="C56" s="46" t="str">
        <x:v>H1</x:v>
      </x:c>
      <x:c r="D56" s="46" t="str">
        <x:v>学生首次回应未指出该局面的核心信号或风险。</x:v>
      </x:c>
      <x:c r="E56" s="46" t="str">
        <x:v>1级｜观察线索</x:v>
      </x:c>
      <x:c r="F56" s="46" t="str">
        <x:v>问题提示</x:v>
      </x:c>
      <x:c r="G56" s="46" t="str">
        <x:v>请重新观察局面中的关键词和条件：它可能怎样影响交易判断？</x:v>
      </x:c>
      <x:c r="H56" s="46" t="str">
        <x:v>学生能独立说明：改证请求应按合同依据和风险影响逐项分类。</x:v>
      </x:c>
      <x:c r="I56" s="46" t="n">
        <x:v>1</x:v>
      </x:c>
      <x:c r="J56" s="50" t="str">
        <x:f>IF(AND(A56&lt;&gt;"",B56&lt;&gt;"",C56&lt;&gt;"",D56&lt;&gt;"",E56&lt;&gt;"",G56&lt;&gt;"",H56&lt;&gt;""),"完整","请补充")</x:f>
        <x:v>完整</x:v>
      </x:c>
    </x:row>
    <x:row r="57" ht="70" customHeight="1">
      <x:c r="A57" s="46" t="str">
        <x:v>CASE-013</x:v>
      </x:c>
      <x:c r="B57" s="46" t="str">
        <x:v>S2</x:v>
      </x:c>
      <x:c r="C57" s="46" t="str">
        <x:v>H2</x:v>
      </x:c>
      <x:c r="D57" s="46" t="str">
        <x:v>一级提示后仍未形成可执行行动。</x:v>
      </x:c>
      <x:c r="E57" s="46" t="str">
        <x:v>2级｜策略提示</x:v>
      </x:c>
      <x:c r="F57" s="46" t="str">
        <x:v>策略卡</x:v>
      </x:c>
      <x:c r="G57" s="46" t="str">
        <x:v>考虑使用“区分必要、可协商与不合理改证”：先说明判断依据，再提出可验证的下一步。</x:v>
      </x:c>
      <x:c r="H57" s="46" t="str">
        <x:v>学生能独立采取行动：逐项接受、附条件接受或拒绝并说明理由。</x:v>
      </x:c>
      <x:c r="I57" s="46" t="n">
        <x:v>1</x:v>
      </x:c>
      <x:c r="J57" s="50" t="str">
        <x:f>IF(AND(A57&lt;&gt;"",B57&lt;&gt;"",C57&lt;&gt;"",D57&lt;&gt;"",E57&lt;&gt;"",G57&lt;&gt;"",H57&lt;&gt;""),"完整","请补充")</x:f>
        <x:v>完整</x:v>
      </x:c>
    </x:row>
    <x:row r="58" ht="70" customHeight="1">
      <x:c r="A58" s="46" t="str">
        <x:v>CASE-014</x:v>
      </x:c>
      <x:c r="B58" s="46" t="str">
        <x:v>S1</x:v>
      </x:c>
      <x:c r="C58" s="46" t="str">
        <x:v>H1</x:v>
      </x:c>
      <x:c r="D58" s="46" t="str">
        <x:v>学生首次回应未指出该局面的核心信号或风险。</x:v>
      </x:c>
      <x:c r="E58" s="46" t="str">
        <x:v>1级｜观察线索</x:v>
      </x:c>
      <x:c r="F58" s="46" t="str">
        <x:v>问题提示</x:v>
      </x:c>
      <x:c r="G58" s="46" t="str">
        <x:v>请重新观察局面中的关键词和条件：它可能怎样影响交易判断？</x:v>
      </x:c>
      <x:c r="H58" s="46" t="str">
        <x:v>学生能独立说明：装运通知必须支持货物追踪、保险和清关准备。</x:v>
      </x:c>
      <x:c r="I58" s="46" t="n">
        <x:v>1</x:v>
      </x:c>
      <x:c r="J58" s="50" t="str">
        <x:f>IF(AND(A58&lt;&gt;"",B58&lt;&gt;"",C58&lt;&gt;"",D58&lt;&gt;"",E58&lt;&gt;"",G58&lt;&gt;"",H58&lt;&gt;""),"完整","请补充")</x:f>
        <x:v>完整</x:v>
      </x:c>
    </x:row>
    <x:row r="59" ht="70" customHeight="1">
      <x:c r="A59" s="46" t="str">
        <x:v>CASE-014</x:v>
      </x:c>
      <x:c r="B59" s="46" t="str">
        <x:v>S1</x:v>
      </x:c>
      <x:c r="C59" s="46" t="str">
        <x:v>H2</x:v>
      </x:c>
      <x:c r="D59" s="46" t="str">
        <x:v>一级提示后仍未形成可执行行动。</x:v>
      </x:c>
      <x:c r="E59" s="46" t="str">
        <x:v>2级｜策略提示</x:v>
      </x:c>
      <x:c r="F59" s="46" t="str">
        <x:v>策略卡</x:v>
      </x:c>
      <x:c r="G59" s="46" t="str">
        <x:v>考虑使用“按字段核对装运通知”：先说明判断依据，再提出可验证的下一步。</x:v>
      </x:c>
      <x:c r="H59" s="46" t="str">
        <x:v>学生能独立采取行动：检查合同号、货物、数量、船名、提单、日期和预计到港。</x:v>
      </x:c>
      <x:c r="I59" s="46" t="n">
        <x:v>1</x:v>
      </x:c>
      <x:c r="J59" s="50" t="str">
        <x:f>IF(AND(A59&lt;&gt;"",B59&lt;&gt;"",C59&lt;&gt;"",D59&lt;&gt;"",E59&lt;&gt;"",G59&lt;&gt;"",H59&lt;&gt;""),"完整","请补充")</x:f>
        <x:v>完整</x:v>
      </x:c>
    </x:row>
    <x:row r="60" ht="70" customHeight="1">
      <x:c r="A60" s="46" t="str">
        <x:v>CASE-014</x:v>
      </x:c>
      <x:c r="B60" s="46" t="str">
        <x:v>S2</x:v>
      </x:c>
      <x:c r="C60" s="46" t="str">
        <x:v>H1</x:v>
      </x:c>
      <x:c r="D60" s="46" t="str">
        <x:v>学生首次回应未指出该局面的核心信号或风险。</x:v>
      </x:c>
      <x:c r="E60" s="46" t="str">
        <x:v>1级｜观察线索</x:v>
      </x:c>
      <x:c r="F60" s="46" t="str">
        <x:v>问题提示</x:v>
      </x:c>
      <x:c r="G60" s="46" t="str">
        <x:v>请重新观察局面中的关键词和条件：它可能怎样影响交易判断？</x:v>
      </x:c>
      <x:c r="H60" s="46" t="str">
        <x:v>学生能独立说明：L/C 付款基于相符单据，不以到货验收为前提。</x:v>
      </x:c>
      <x:c r="I60" s="46" t="n">
        <x:v>1</x:v>
      </x:c>
      <x:c r="J60" s="50" t="str">
        <x:f>IF(AND(A60&lt;&gt;"",B60&lt;&gt;"",C60&lt;&gt;"",D60&lt;&gt;"",E60&lt;&gt;"",G60&lt;&gt;"",H60&lt;&gt;""),"完整","请补充")</x:f>
        <x:v>完整</x:v>
      </x:c>
    </x:row>
    <x:row r="61" ht="70" customHeight="1">
      <x:c r="A61" s="46" t="str">
        <x:v>CASE-014</x:v>
      </x:c>
      <x:c r="B61" s="46" t="str">
        <x:v>S2</x:v>
      </x:c>
      <x:c r="C61" s="46" t="str">
        <x:v>H2</x:v>
      </x:c>
      <x:c r="D61" s="46" t="str">
        <x:v>一级提示后仍未形成可执行行动。</x:v>
      </x:c>
      <x:c r="E61" s="46" t="str">
        <x:v>2级｜策略提示</x:v>
      </x:c>
      <x:c r="F61" s="46" t="str">
        <x:v>策略卡</x:v>
      </x:c>
      <x:c r="G61" s="46" t="str">
        <x:v>考虑使用“区分单据付款与货物争议”：先说明判断依据，再提出可验证的下一步。</x:v>
      </x:c>
      <x:c r="H61" s="46" t="str">
        <x:v>学生能独立采取行动：按 L/C 规则处理付款，同时保留合同项下检验索赔权。</x:v>
      </x:c>
      <x:c r="I61" s="46" t="n">
        <x:v>1</x:v>
      </x:c>
      <x:c r="J61" s="50" t="str">
        <x:f>IF(AND(A61&lt;&gt;"",B61&lt;&gt;"",C61&lt;&gt;"",D61&lt;&gt;"",E61&lt;&gt;"",G61&lt;&gt;"",H61&lt;&gt;""),"完整","请补充")</x:f>
        <x:v>完整</x:v>
      </x:c>
    </x:row>
    <x:row r="62" ht="70" customHeight="1">
      <x:c r="A62" s="46" t="str">
        <x:v>CASE-015</x:v>
      </x:c>
      <x:c r="B62" s="46" t="str">
        <x:v>S1</x:v>
      </x:c>
      <x:c r="C62" s="46" t="str">
        <x:v>H1</x:v>
      </x:c>
      <x:c r="D62" s="46" t="str">
        <x:v>学生首次回应未指出该局面的核心信号或风险。</x:v>
      </x:c>
      <x:c r="E62" s="46" t="str">
        <x:v>1级｜观察线索</x:v>
      </x:c>
      <x:c r="F62" s="46" t="str">
        <x:v>问题提示</x:v>
      </x:c>
      <x:c r="G62" s="46" t="str">
        <x:v>请重新观察局面中的关键词和条件：它可能怎样影响交易判断？</x:v>
      </x:c>
      <x:c r="H62" s="46" t="str">
        <x:v>学生能独立说明：装港检验与到货复验承担不同风险控制功能。</x:v>
      </x:c>
      <x:c r="I62" s="46" t="n">
        <x:v>1</x:v>
      </x:c>
      <x:c r="J62" s="50" t="str">
        <x:f>IF(AND(A62&lt;&gt;"",B62&lt;&gt;"",C62&lt;&gt;"",D62&lt;&gt;"",E62&lt;&gt;"",G62&lt;&gt;"",H62&lt;&gt;""),"完整","请补充")</x:f>
        <x:v>完整</x:v>
      </x:c>
    </x:row>
    <x:row r="63" ht="70" customHeight="1">
      <x:c r="A63" s="46" t="str">
        <x:v>CASE-015</x:v>
      </x:c>
      <x:c r="B63" s="46" t="str">
        <x:v>S1</x:v>
      </x:c>
      <x:c r="C63" s="46" t="str">
        <x:v>H2</x:v>
      </x:c>
      <x:c r="D63" s="46" t="str">
        <x:v>一级提示后仍未形成可执行行动。</x:v>
      </x:c>
      <x:c r="E63" s="46" t="str">
        <x:v>2级｜策略提示</x:v>
      </x:c>
      <x:c r="F63" s="46" t="str">
        <x:v>策略卡</x:v>
      </x:c>
      <x:c r="G63" s="46" t="str">
        <x:v>考虑使用“区分装港检验与到货复验功能”：先说明判断依据，再提出可验证的下一步。</x:v>
      </x:c>
      <x:c r="H63" s="46" t="str">
        <x:v>学生能独立采取行动：分别说明装运符合性和隐蔽缺陷救济的适用范围。</x:v>
      </x:c>
      <x:c r="I63" s="46" t="n">
        <x:v>1</x:v>
      </x:c>
      <x:c r="J63" s="50" t="str">
        <x:f>IF(AND(A63&lt;&gt;"",B63&lt;&gt;"",C63&lt;&gt;"",D63&lt;&gt;"",E63&lt;&gt;"",G63&lt;&gt;"",H63&lt;&gt;""),"完整","请补充")</x:f>
        <x:v>完整</x:v>
      </x:c>
    </x:row>
    <x:row r="64" ht="70" customHeight="1">
      <x:c r="A64" s="46" t="str">
        <x:v>CASE-015</x:v>
      </x:c>
      <x:c r="B64" s="46" t="str">
        <x:v>S2</x:v>
      </x:c>
      <x:c r="C64" s="46" t="str">
        <x:v>H1</x:v>
      </x:c>
      <x:c r="D64" s="46" t="str">
        <x:v>学生首次回应未指出该局面的核心信号或风险。</x:v>
      </x:c>
      <x:c r="E64" s="46" t="str">
        <x:v>1级｜观察线索</x:v>
      </x:c>
      <x:c r="F64" s="46" t="str">
        <x:v>问题提示</x:v>
      </x:c>
      <x:c r="G64" s="46" t="str">
        <x:v>请重新观察局面中的关键词和条件：它可能怎样影响交易判断？</x:v>
      </x:c>
      <x:c r="H64" s="46" t="str">
        <x:v>学生能独立说明：复验权需要限定机构、事项、时间和证据程序。</x:v>
      </x:c>
      <x:c r="I64" s="46" t="n">
        <x:v>1</x:v>
      </x:c>
      <x:c r="J64" s="50" t="str">
        <x:f>IF(AND(A64&lt;&gt;"",B64&lt;&gt;"",C64&lt;&gt;"",D64&lt;&gt;"",E64&lt;&gt;"",G64&lt;&gt;"",H64&lt;&gt;""),"完整","请补充")</x:f>
        <x:v>完整</x:v>
      </x:c>
    </x:row>
    <x:row r="65" ht="70" customHeight="1">
      <x:c r="A65" s="46" t="str">
        <x:v>CASE-015</x:v>
      </x:c>
      <x:c r="B65" s="46" t="str">
        <x:v>S2</x:v>
      </x:c>
      <x:c r="C65" s="46" t="str">
        <x:v>H2</x:v>
      </x:c>
      <x:c r="D65" s="46" t="str">
        <x:v>一级提示后仍未形成可执行行动。</x:v>
      </x:c>
      <x:c r="E65" s="46" t="str">
        <x:v>2级｜策略提示</x:v>
      </x:c>
      <x:c r="F65" s="46" t="str">
        <x:v>策略卡</x:v>
      </x:c>
      <x:c r="G65" s="46" t="str">
        <x:v>考虑使用“限定复验范围与时限”：先说明判断依据，再提出可验证的下一步。</x:v>
      </x:c>
      <x:c r="H65" s="46" t="str">
        <x:v>学生能独立采取行动：规定到货后天数、抽样标准、缺陷类型和通知要求。</x:v>
      </x:c>
      <x:c r="I65" s="46" t="n">
        <x:v>1</x:v>
      </x:c>
      <x:c r="J65" s="50" t="str">
        <x:f>IF(AND(A65&lt;&gt;"",B65&lt;&gt;"",C65&lt;&gt;"",D65&lt;&gt;"",E65&lt;&gt;"",G65&lt;&gt;"",H65&lt;&gt;""),"完整","请补充")</x:f>
        <x:v>完整</x:v>
      </x:c>
    </x:row>
    <x:row r="66" ht="70" customHeight="1">
      <x:c r="A66" s="46" t="str">
        <x:v>CASE-016</x:v>
      </x:c>
      <x:c r="B66" s="46" t="str">
        <x:v>S1</x:v>
      </x:c>
      <x:c r="C66" s="46" t="str">
        <x:v>H1</x:v>
      </x:c>
      <x:c r="D66" s="46" t="str">
        <x:v>学生首次回应未指出该局面的核心信号或风险。</x:v>
      </x:c>
      <x:c r="E66" s="46" t="str">
        <x:v>1级｜观察线索</x:v>
      </x:c>
      <x:c r="F66" s="46" t="str">
        <x:v>问题提示</x:v>
      </x:c>
      <x:c r="G66" s="46" t="str">
        <x:v>请重新观察局面中的关键词和条件：它可能怎样影响交易判断？</x:v>
      </x:c>
      <x:c r="H66" s="46" t="str">
        <x:v>学生能独立说明：CIF 只规定最低投保义务，不代表一定满足具体货物风险。</x:v>
      </x:c>
      <x:c r="I66" s="46" t="n">
        <x:v>1</x:v>
      </x:c>
      <x:c r="J66" s="50" t="str">
        <x:f>IF(AND(A66&lt;&gt;"",B66&lt;&gt;"",C66&lt;&gt;"",D66&lt;&gt;"",E66&lt;&gt;"",G66&lt;&gt;"",H66&lt;&gt;""),"完整","请补充")</x:f>
        <x:v>完整</x:v>
      </x:c>
    </x:row>
    <x:row r="67" ht="70" customHeight="1">
      <x:c r="A67" s="46" t="str">
        <x:v>CASE-016</x:v>
      </x:c>
      <x:c r="B67" s="46" t="str">
        <x:v>S1</x:v>
      </x:c>
      <x:c r="C67" s="46" t="str">
        <x:v>H2</x:v>
      </x:c>
      <x:c r="D67" s="46" t="str">
        <x:v>一级提示后仍未形成可执行行动。</x:v>
      </x:c>
      <x:c r="E67" s="46" t="str">
        <x:v>2级｜策略提示</x:v>
      </x:c>
      <x:c r="F67" s="46" t="str">
        <x:v>策略卡</x:v>
      </x:c>
      <x:c r="G67" s="46" t="str">
        <x:v>考虑使用“从货物和航线建立风险清单”：先说明判断依据，再提出可验证的下一步。</x:v>
      </x:c>
      <x:c r="H67" s="46" t="str">
        <x:v>学生能独立采取行动：识别受潮、碰撞、盗窃、中转和延误等风险及可保性。</x:v>
      </x:c>
      <x:c r="I67" s="46" t="n">
        <x:v>1</x:v>
      </x:c>
      <x:c r="J67" s="50" t="str">
        <x:f>IF(AND(A67&lt;&gt;"",B67&lt;&gt;"",C67&lt;&gt;"",D67&lt;&gt;"",E67&lt;&gt;"",G67&lt;&gt;"",H67&lt;&gt;""),"完整","请补充")</x:f>
        <x:v>完整</x:v>
      </x:c>
    </x:row>
    <x:row r="68" ht="70" customHeight="1">
      <x:c r="A68" s="46" t="str">
        <x:v>CASE-016</x:v>
      </x:c>
      <x:c r="B68" s="46" t="str">
        <x:v>S2</x:v>
      </x:c>
      <x:c r="C68" s="46" t="str">
        <x:v>H1</x:v>
      </x:c>
      <x:c r="D68" s="46" t="str">
        <x:v>学生首次回应未指出该局面的核心信号或风险。</x:v>
      </x:c>
      <x:c r="E68" s="46" t="str">
        <x:v>1级｜观察线索</x:v>
      </x:c>
      <x:c r="F68" s="46" t="str">
        <x:v>问题提示</x:v>
      </x:c>
      <x:c r="G68" s="46" t="str">
        <x:v>请重新观察局面中的关键词和条件：它可能怎样影响交易判断？</x:v>
      </x:c>
      <x:c r="H68" s="46" t="str">
        <x:v>学生能独立说明：广泛险并非包赔一切，升级应基于风险清单和成本。</x:v>
      </x:c>
      <x:c r="I68" s="46" t="n">
        <x:v>1</x:v>
      </x:c>
      <x:c r="J68" s="50" t="str">
        <x:f>IF(AND(A68&lt;&gt;"",B68&lt;&gt;"",C68&lt;&gt;"",D68&lt;&gt;"",E68&lt;&gt;"",G68&lt;&gt;"",H68&lt;&gt;""),"完整","请补充")</x:f>
        <x:v>完整</x:v>
      </x:c>
    </x:row>
    <x:row r="69" ht="70" customHeight="1">
      <x:c r="A69" s="46" t="str">
        <x:v>CASE-016</x:v>
      </x:c>
      <x:c r="B69" s="46" t="str">
        <x:v>S2</x:v>
      </x:c>
      <x:c r="C69" s="46" t="str">
        <x:v>H2</x:v>
      </x:c>
      <x:c r="D69" s="46" t="str">
        <x:v>一级提示后仍未形成可执行行动。</x:v>
      </x:c>
      <x:c r="E69" s="46" t="str">
        <x:v>2级｜策略提示</x:v>
      </x:c>
      <x:c r="F69" s="46" t="str">
        <x:v>策略卡</x:v>
      </x:c>
      <x:c r="G69" s="46" t="str">
        <x:v>考虑使用“用增量保费进行条件交换”：先说明判断依据，再提出可验证的下一步。</x:v>
      </x:c>
      <x:c r="H69" s="46" t="str">
        <x:v>学生能独立采取行动：获取差额并协商买方承担、分担或纳入价格。</x:v>
      </x:c>
      <x:c r="I69" s="46" t="n">
        <x:v>1</x:v>
      </x:c>
      <x:c r="J69" s="50" t="str">
        <x:f>IF(AND(A69&lt;&gt;"",B69&lt;&gt;"",C69&lt;&gt;"",D69&lt;&gt;"",E69&lt;&gt;"",G69&lt;&gt;"",H69&lt;&gt;""),"完整","请补充")</x:f>
        <x:v>完整</x:v>
      </x:c>
    </x:row>
    <x:row r="70" ht="70" customHeight="1">
      <x:c r="A70" s="46" t="str">
        <x:v>CASE-017</x:v>
      </x:c>
      <x:c r="B70" s="46" t="str">
        <x:v>S1</x:v>
      </x:c>
      <x:c r="C70" s="46" t="str">
        <x:v>H1</x:v>
      </x:c>
      <x:c r="D70" s="46" t="str">
        <x:v>学生首次回应未指出该局面的核心信号或风险。</x:v>
      </x:c>
      <x:c r="E70" s="46" t="str">
        <x:v>1级｜观察线索</x:v>
      </x:c>
      <x:c r="F70" s="46" t="str">
        <x:v>问题提示</x:v>
      </x:c>
      <x:c r="G70" s="46" t="str">
        <x:v>请重新观察局面中的关键词和条件：它可能怎样影响交易判断？</x:v>
      </x:c>
      <x:c r="H70" s="46" t="str">
        <x:v>学生能独立说明：或裁或审会造成争议解决路径不确定。</x:v>
      </x:c>
      <x:c r="I70" s="46" t="n">
        <x:v>1</x:v>
      </x:c>
      <x:c r="J70" s="50" t="str">
        <x:f>IF(AND(A70&lt;&gt;"",B70&lt;&gt;"",C70&lt;&gt;"",D70&lt;&gt;"",E70&lt;&gt;"",G70&lt;&gt;"",H70&lt;&gt;""),"完整","请补充")</x:f>
        <x:v>完整</x:v>
      </x:c>
    </x:row>
    <x:row r="71" ht="70" customHeight="1">
      <x:c r="A71" s="46" t="str">
        <x:v>CASE-017</x:v>
      </x:c>
      <x:c r="B71" s="46" t="str">
        <x:v>S1</x:v>
      </x:c>
      <x:c r="C71" s="46" t="str">
        <x:v>H2</x:v>
      </x:c>
      <x:c r="D71" s="46" t="str">
        <x:v>一级提示后仍未形成可执行行动。</x:v>
      </x:c>
      <x:c r="E71" s="46" t="str">
        <x:v>2级｜策略提示</x:v>
      </x:c>
      <x:c r="F71" s="46" t="str">
        <x:v>策略卡</x:v>
      </x:c>
      <x:c r="G71" s="46" t="str">
        <x:v>考虑使用“使用仲裁条款完整性清单”：先说明判断依据，再提出可验证的下一步。</x:v>
      </x:c>
      <x:c r="H71" s="46" t="str">
        <x:v>学生能独立采取行动：核对唯一机构、仲裁地、规则、语言、人数和终局效力。</x:v>
      </x:c>
      <x:c r="I71" s="46" t="n">
        <x:v>1</x:v>
      </x:c>
      <x:c r="J71" s="50" t="str">
        <x:f>IF(AND(A71&lt;&gt;"",B71&lt;&gt;"",C71&lt;&gt;"",D71&lt;&gt;"",E71&lt;&gt;"",G71&lt;&gt;"",H71&lt;&gt;""),"完整","请补充")</x:f>
        <x:v>完整</x:v>
      </x:c>
    </x:row>
    <x:row r="72" ht="70" customHeight="1">
      <x:c r="A72" s="46" t="str">
        <x:v>CASE-017</x:v>
      </x:c>
      <x:c r="B72" s="46" t="str">
        <x:v>S2</x:v>
      </x:c>
      <x:c r="C72" s="46" t="str">
        <x:v>H1</x:v>
      </x:c>
      <x:c r="D72" s="46" t="str">
        <x:v>学生首次回应未指出该局面的核心信号或风险。</x:v>
      </x:c>
      <x:c r="E72" s="46" t="str">
        <x:v>1级｜观察线索</x:v>
      </x:c>
      <x:c r="F72" s="46" t="str">
        <x:v>问题提示</x:v>
      </x:c>
      <x:c r="G72" s="46" t="str">
        <x:v>请重新观察局面中的关键词和条件：它可能怎样影响交易判断？</x:v>
      </x:c>
      <x:c r="H72" s="46" t="str">
        <x:v>学生能独立说明：应比较机构、仲裁地、语言、费用和裁决执行网络。</x:v>
      </x:c>
      <x:c r="I72" s="46" t="n">
        <x:v>1</x:v>
      </x:c>
      <x:c r="J72" s="50" t="str">
        <x:f>IF(AND(A72&lt;&gt;"",B72&lt;&gt;"",C72&lt;&gt;"",D72&lt;&gt;"",E72&lt;&gt;"",G72&lt;&gt;"",H72&lt;&gt;""),"完整","请补充")</x:f>
        <x:v>完整</x:v>
      </x:c>
    </x:row>
    <x:row r="73" ht="70" customHeight="1">
      <x:c r="A73" s="46" t="str">
        <x:v>CASE-017</x:v>
      </x:c>
      <x:c r="B73" s="46" t="str">
        <x:v>S2</x:v>
      </x:c>
      <x:c r="C73" s="46" t="str">
        <x:v>H2</x:v>
      </x:c>
      <x:c r="D73" s="46" t="str">
        <x:v>一级提示后仍未形成可执行行动。</x:v>
      </x:c>
      <x:c r="E73" s="46" t="str">
        <x:v>2级｜策略提示</x:v>
      </x:c>
      <x:c r="F73" s="46" t="str">
        <x:v>策略卡</x:v>
      </x:c>
      <x:c r="G73" s="46" t="str">
        <x:v>考虑使用“用中立性与执行成本比较方案”：先说明判断依据，再提出可验证的下一步。</x:v>
      </x:c>
      <x:c r="H73" s="46" t="str">
        <x:v>学生能独立采取行动：比较 SIAC、HKIAC、CIETAC 的地点、语言和执行便利。</x:v>
      </x:c>
      <x:c r="I73" s="46" t="n">
        <x:v>1</x:v>
      </x:c>
      <x:c r="J73" s="50" t="str">
        <x:f>IF(AND(A73&lt;&gt;"",B73&lt;&gt;"",C73&lt;&gt;"",D73&lt;&gt;"",E73&lt;&gt;"",G73&lt;&gt;"",H73&lt;&gt;""),"完整","请补充")</x:f>
        <x:v>完整</x:v>
      </x:c>
    </x:row>
    <x:row r="74" ht="70" customHeight="1">
      <x:c r="A74" s="46" t="str">
        <x:v>CASE-018</x:v>
      </x:c>
      <x:c r="B74" s="46" t="str">
        <x:v>S1</x:v>
      </x:c>
      <x:c r="C74" s="46" t="str">
        <x:v>H1</x:v>
      </x:c>
      <x:c r="D74" s="46" t="str">
        <x:v>学生首次回应未指出该局面的核心信号或风险。</x:v>
      </x:c>
      <x:c r="E74" s="46" t="str">
        <x:v>1级｜观察线索</x:v>
      </x:c>
      <x:c r="F74" s="46" t="str">
        <x:v>问题提示</x:v>
      </x:c>
      <x:c r="G74" s="46" t="str">
        <x:v>请重新观察局面中的关键词和条件：它可能怎样影响交易判断？</x:v>
      </x:c>
      <x:c r="H74" s="46" t="str">
        <x:v>学生能独立说明：不同成因应匹配合同、承运或保险责任。</x:v>
      </x:c>
      <x:c r="I74" s="46" t="n">
        <x:v>1</x:v>
      </x:c>
      <x:c r="J74" s="50" t="str">
        <x:f>IF(AND(A74&lt;&gt;"",B74&lt;&gt;"",C74&lt;&gt;"",D74&lt;&gt;"",E74&lt;&gt;"",G74&lt;&gt;"",H74&lt;&gt;""),"完整","请补充")</x:f>
        <x:v>完整</x:v>
      </x:c>
    </x:row>
    <x:row r="75" ht="70" customHeight="1">
      <x:c r="A75" s="46" t="str">
        <x:v>CASE-018</x:v>
      </x:c>
      <x:c r="B75" s="46" t="str">
        <x:v>S1</x:v>
      </x:c>
      <x:c r="C75" s="46" t="str">
        <x:v>H2</x:v>
      </x:c>
      <x:c r="D75" s="46" t="str">
        <x:v>一级提示后仍未形成可执行行动。</x:v>
      </x:c>
      <x:c r="E75" s="46" t="str">
        <x:v>2级｜策略提示</x:v>
      </x:c>
      <x:c r="F75" s="46" t="str">
        <x:v>策略卡</x:v>
      </x:c>
      <x:c r="G75" s="46" t="str">
        <x:v>考虑使用“按成因建立损失责任矩阵”：先说明判断依据，再提出可验证的下一步。</x:v>
      </x:c>
      <x:c r="H75" s="46" t="str">
        <x:v>学生能独立采取行动：逐项列明现象、数量、证据、成因和主张对象。</x:v>
      </x:c>
      <x:c r="I75" s="46" t="n">
        <x:v>1</x:v>
      </x:c>
      <x:c r="J75" s="50" t="str">
        <x:f>IF(AND(A75&lt;&gt;"",B75&lt;&gt;"",C75&lt;&gt;"",D75&lt;&gt;"",E75&lt;&gt;"",G75&lt;&gt;"",H75&lt;&gt;""),"完整","请补充")</x:f>
        <x:v>完整</x:v>
      </x:c>
    </x:row>
    <x:row r="76" ht="70" customHeight="1">
      <x:c r="A76" s="46" t="str">
        <x:v>CASE-018</x:v>
      </x:c>
      <x:c r="B76" s="46" t="str">
        <x:v>S2</x:v>
      </x:c>
      <x:c r="C76" s="46" t="str">
        <x:v>H1</x:v>
      </x:c>
      <x:c r="D76" s="46" t="str">
        <x:v>学生首次回应未指出该局面的核心信号或风险。</x:v>
      </x:c>
      <x:c r="E76" s="46" t="str">
        <x:v>1级｜观察线索</x:v>
      </x:c>
      <x:c r="F76" s="46" t="str">
        <x:v>问题提示</x:v>
      </x:c>
      <x:c r="G76" s="46" t="str">
        <x:v>请重新观察局面中的关键词和条件：它可能怎样影响交易判断？</x:v>
      </x:c>
      <x:c r="H76" s="46" t="str">
        <x:v>学生能独立说明：索赔必须形成事实—证据—责任—损失—诉求链。</x:v>
      </x:c>
      <x:c r="I76" s="46" t="n">
        <x:v>1</x:v>
      </x:c>
      <x:c r="J76" s="50" t="str">
        <x:f>IF(AND(A76&lt;&gt;"",B76&lt;&gt;"",C76&lt;&gt;"",D76&lt;&gt;"",E76&lt;&gt;"",G76&lt;&gt;"",H76&lt;&gt;""),"完整","请补充")</x:f>
        <x:v>完整</x:v>
      </x:c>
    </x:row>
    <x:row r="77" ht="70" customHeight="1">
      <x:c r="A77" s="46" t="str">
        <x:v>CASE-018</x:v>
      </x:c>
      <x:c r="B77" s="46" t="str">
        <x:v>S2</x:v>
      </x:c>
      <x:c r="C77" s="46" t="str">
        <x:v>H2</x:v>
      </x:c>
      <x:c r="D77" s="46" t="str">
        <x:v>一级提示后仍未形成可执行行动。</x:v>
      </x:c>
      <x:c r="E77" s="46" t="str">
        <x:v>2级｜策略提示</x:v>
      </x:c>
      <x:c r="F77" s="46" t="str">
        <x:v>策略卡</x:v>
      </x:c>
      <x:c r="G77" s="46" t="str">
        <x:v>考虑使用“用六段式组织正式索赔函”：先说明判断依据，再提出可验证的下一步。</x:v>
      </x:c>
      <x:c r="H77" s="46" t="str">
        <x:v>学生能独立采取行动：依次写事实、证据、条款、损失、诉求、期限。</x:v>
      </x:c>
      <x:c r="I77" s="46" t="n">
        <x:v>1</x:v>
      </x:c>
      <x:c r="J77" s="50" t="str">
        <x:f>IF(AND(A77&lt;&gt;"",B77&lt;&gt;"",C77&lt;&gt;"",D77&lt;&gt;"",E77&lt;&gt;"",G77&lt;&gt;"",H77&lt;&gt;""),"完整","请补充")</x:f>
        <x:v>完整</x:v>
      </x:c>
    </x:row>
    <x:row r="78" ht="70" customHeight="1">
      <x:c r="A78" s="46" t="str">
        <x:v>CASE-019</x:v>
      </x:c>
      <x:c r="B78" s="46" t="str">
        <x:v>S1</x:v>
      </x:c>
      <x:c r="C78" s="46" t="str">
        <x:v>H1</x:v>
      </x:c>
      <x:c r="D78" s="46" t="str">
        <x:v>学生首次回应未指出该局面的核心信号或风险。</x:v>
      </x:c>
      <x:c r="E78" s="46" t="str">
        <x:v>1级｜观察线索</x:v>
      </x:c>
      <x:c r="F78" s="46" t="str">
        <x:v>问题提示</x:v>
      </x:c>
      <x:c r="G78" s="46" t="str">
        <x:v>请重新观察局面中的关键词和条件：它可能怎样影响交易判断？</x:v>
      </x:c>
      <x:c r="H78" s="46" t="str">
        <x:v>学生能独立说明：需核对容差条款的指标、范围和计算基数。</x:v>
      </x:c>
      <x:c r="I78" s="46" t="n">
        <x:v>1</x:v>
      </x:c>
      <x:c r="J78" s="50" t="str">
        <x:f>IF(AND(A78&lt;&gt;"",B78&lt;&gt;"",C78&lt;&gt;"",D78&lt;&gt;"",E78&lt;&gt;"",G78&lt;&gt;"",H78&lt;&gt;""),"完整","请补充")</x:f>
        <x:v>完整</x:v>
      </x:c>
    </x:row>
    <x:row r="79" ht="70" customHeight="1">
      <x:c r="A79" s="46" t="str">
        <x:v>CASE-019</x:v>
      </x:c>
      <x:c r="B79" s="46" t="str">
        <x:v>S1</x:v>
      </x:c>
      <x:c r="C79" s="46" t="str">
        <x:v>H2</x:v>
      </x:c>
      <x:c r="D79" s="46" t="str">
        <x:v>一级提示后仍未形成可执行行动。</x:v>
      </x:c>
      <x:c r="E79" s="46" t="str">
        <x:v>2级｜策略提示</x:v>
      </x:c>
      <x:c r="F79" s="46" t="str">
        <x:v>策略卡</x:v>
      </x:c>
      <x:c r="G79" s="46" t="str">
        <x:v>考虑使用“把抗辩拆成可验证命题”：先说明判断依据，再提出可验证的下一步。</x:v>
      </x:c>
      <x:c r="H79" s="46" t="str">
        <x:v>学生能独立采取行动：逐项列出主张、适用条款、现有证据和待补证据。</x:v>
      </x:c>
      <x:c r="I79" s="46" t="n">
        <x:v>1</x:v>
      </x:c>
      <x:c r="J79" s="50" t="str">
        <x:f>IF(AND(A79&lt;&gt;"",B79&lt;&gt;"",C79&lt;&gt;"",D79&lt;&gt;"",E79&lt;&gt;"",G79&lt;&gt;"",H79&lt;&gt;""),"完整","请补充")</x:f>
        <x:v>完整</x:v>
      </x:c>
    </x:row>
    <x:row r="80" ht="70" customHeight="1">
      <x:c r="A80" s="46" t="str">
        <x:v>CASE-019</x:v>
      </x:c>
      <x:c r="B80" s="46" t="str">
        <x:v>S2</x:v>
      </x:c>
      <x:c r="C80" s="46" t="str">
        <x:v>H1</x:v>
      </x:c>
      <x:c r="D80" s="46" t="str">
        <x:v>学生首次回应未指出该局面的核心信号或风险。</x:v>
      </x:c>
      <x:c r="E80" s="46" t="str">
        <x:v>1级｜观察线索</x:v>
      </x:c>
      <x:c r="F80" s="46" t="str">
        <x:v>问题提示</x:v>
      </x:c>
      <x:c r="G80" s="46" t="str">
        <x:v>请重新观察局面中的关键词和条件：它可能怎样影响交易判断？</x:v>
      </x:c>
      <x:c r="H80" s="46" t="str">
        <x:v>学生能独立说明：证据效力取决于机构、程序、样本与因果关联。</x:v>
      </x:c>
      <x:c r="I80" s="46" t="n">
        <x:v>1</x:v>
      </x:c>
      <x:c r="J80" s="50" t="str">
        <x:f>IF(AND(A80&lt;&gt;"",B80&lt;&gt;"",C80&lt;&gt;"",D80&lt;&gt;"",E80&lt;&gt;"",G80&lt;&gt;"",H80&lt;&gt;""),"完整","请补充")</x:f>
        <x:v>完整</x:v>
      </x:c>
    </x:row>
    <x:row r="81" ht="70" customHeight="1">
      <x:c r="A81" s="46" t="str">
        <x:v>CASE-019</x:v>
      </x:c>
      <x:c r="B81" s="46" t="str">
        <x:v>S2</x:v>
      </x:c>
      <x:c r="C81" s="46" t="str">
        <x:v>H2</x:v>
      </x:c>
      <x:c r="D81" s="46" t="str">
        <x:v>一级提示后仍未形成可执行行动。</x:v>
      </x:c>
      <x:c r="E81" s="46" t="str">
        <x:v>2级｜策略提示</x:v>
      </x:c>
      <x:c r="F81" s="46" t="str">
        <x:v>策略卡</x:v>
      </x:c>
      <x:c r="G81" s="46" t="str">
        <x:v>考虑使用“说明证据来源与程序可靠性”：先说明判断依据，再提出可验证的下一步。</x:v>
      </x:c>
      <x:c r="H81" s="46" t="str">
        <x:v>学生能独立采取行动：引用机构资质、取样日期、方法、样本量和封样记录。</x:v>
      </x:c>
      <x:c r="I81" s="46" t="n">
        <x:v>1</x:v>
      </x:c>
      <x:c r="J81" s="50" t="str">
        <x:f>IF(AND(A81&lt;&gt;"",B81&lt;&gt;"",C81&lt;&gt;"",D81&lt;&gt;"",E81&lt;&gt;"",G81&lt;&gt;"",H81&lt;&gt;""),"完整","请补充")</x:f>
        <x:v>完整</x:v>
      </x:c>
    </x:row>
    <x:row r="82" ht="70" customHeight="1">
      <x:c r="A82" s="46" t="str">
        <x:v>CASE-020</x:v>
      </x:c>
      <x:c r="B82" s="46" t="str">
        <x:v>S1</x:v>
      </x:c>
      <x:c r="C82" s="46" t="str">
        <x:v>H1</x:v>
      </x:c>
      <x:c r="D82" s="46" t="str">
        <x:v>学生首次回应未指出该局面的核心信号或风险。</x:v>
      </x:c>
      <x:c r="E82" s="46" t="str">
        <x:v>1级｜观察线索</x:v>
      </x:c>
      <x:c r="F82" s="46" t="str">
        <x:v>问题提示</x:v>
      </x:c>
      <x:c r="G82" s="46" t="str">
        <x:v>请重新观察局面中的关键词和条件：它可能怎样影响交易判断？</x:v>
      </x:c>
      <x:c r="H82" s="46" t="str">
        <x:v>学生能独立说明：非现金补偿要考虑使用条件、概率、时间和现金流。</x:v>
      </x:c>
      <x:c r="I82" s="46" t="n">
        <x:v>1</x:v>
      </x:c>
      <x:c r="J82" s="50" t="str">
        <x:f>IF(AND(A82&lt;&gt;"",B82&lt;&gt;"",C82&lt;&gt;"",D82&lt;&gt;"",E82&lt;&gt;"",G82&lt;&gt;"",H82&lt;&gt;""),"完整","请补充")</x:f>
        <x:v>完整</x:v>
      </x:c>
    </x:row>
    <x:row r="83" ht="70" customHeight="1">
      <x:c r="A83" s="46" t="str">
        <x:v>CASE-020</x:v>
      </x:c>
      <x:c r="B83" s="46" t="str">
        <x:v>S1</x:v>
      </x:c>
      <x:c r="C83" s="46" t="str">
        <x:v>H2</x:v>
      </x:c>
      <x:c r="D83" s="46" t="str">
        <x:v>一级提示后仍未形成可执行行动。</x:v>
      </x:c>
      <x:c r="E83" s="46" t="str">
        <x:v>2级｜策略提示</x:v>
      </x:c>
      <x:c r="F83" s="46" t="str">
        <x:v>策略卡</x:v>
      </x:c>
      <x:c r="G83" s="46" t="str">
        <x:v>考虑使用“把非现金补偿折算为可用价值”：先说明判断依据，再提出可验证的下一步。</x:v>
      </x:c>
      <x:c r="H83" s="46" t="str">
        <x:v>学生能独立采取行动：评估使用概率、采购约束、时间和可替代成本。</x:v>
      </x:c>
      <x:c r="I83" s="46" t="n">
        <x:v>1</x:v>
      </x:c>
      <x:c r="J83" s="50" t="str">
        <x:f>IF(AND(A83&lt;&gt;"",B83&lt;&gt;"",C83&lt;&gt;"",D83&lt;&gt;"",E83&lt;&gt;"",G83&lt;&gt;"",H83&lt;&gt;""),"完整","请补充")</x:f>
        <x:v>完整</x:v>
      </x:c>
    </x:row>
    <x:row r="84" ht="70" customHeight="1">
      <x:c r="A84" s="46" t="str">
        <x:v>CASE-020</x:v>
      </x:c>
      <x:c r="B84" s="46" t="str">
        <x:v>S2</x:v>
      </x:c>
      <x:c r="C84" s="46" t="str">
        <x:v>H1</x:v>
      </x:c>
      <x:c r="D84" s="46" t="str">
        <x:v>学生首次回应未指出该局面的核心信号或风险。</x:v>
      </x:c>
      <x:c r="E84" s="46" t="str">
        <x:v>1级｜观察线索</x:v>
      </x:c>
      <x:c r="F84" s="46" t="str">
        <x:v>问题提示</x:v>
      </x:c>
      <x:c r="G84" s="46" t="str">
        <x:v>请重新观察局面中的关键词和条件：它可能怎样影响交易判断？</x:v>
      </x:c>
      <x:c r="H84" s="46" t="str">
        <x:v>学生能独立说明：结案范围、履行时间和违约后果必须与已解决争议对应。</x:v>
      </x:c>
      <x:c r="I84" s="46" t="n">
        <x:v>1</x:v>
      </x:c>
      <x:c r="J84" s="50" t="str">
        <x:f>IF(AND(A84&lt;&gt;"",B84&lt;&gt;"",C84&lt;&gt;"",D84&lt;&gt;"",E84&lt;&gt;"",G84&lt;&gt;"",H84&lt;&gt;""),"完整","请补充")</x:f>
        <x:v>完整</x:v>
      </x:c>
    </x:row>
    <x:row r="85" ht="70" customHeight="1">
      <x:c r="A85" s="46" t="str">
        <x:v>CASE-020</x:v>
      </x:c>
      <x:c r="B85" s="46" t="str">
        <x:v>S2</x:v>
      </x:c>
      <x:c r="C85" s="46" t="str">
        <x:v>H2</x:v>
      </x:c>
      <x:c r="D85" s="46" t="str">
        <x:v>一级提示后仍未形成可执行行动。</x:v>
      </x:c>
      <x:c r="E85" s="46" t="str">
        <x:v>2级｜策略提示</x:v>
      </x:c>
      <x:c r="F85" s="46" t="str">
        <x:v>策略卡</x:v>
      </x:c>
      <x:c r="G85" s="46" t="str">
        <x:v>考虑使用“用条件化结案保护履行”：先说明判断依据，再提出可验证的下一步。</x:v>
      </x:c>
      <x:c r="H85" s="46" t="str">
        <x:v>学生能独立采取行动：约定履行日期、证明和未履行时权利恢复。</x:v>
      </x:c>
      <x:c r="I85" s="46" t="n">
        <x:v>1</x:v>
      </x:c>
      <x:c r="J85" s="50" t="str">
        <x:f>IF(AND(A85&lt;&gt;"",B85&lt;&gt;"",C85&lt;&gt;"",D85&lt;&gt;"",E85&lt;&gt;"",G85&lt;&gt;"",H85&lt;&gt;""),"完整","请补充")</x:f>
        <x:v>完整</x:v>
      </x:c>
    </x:row>
  </x:sheetData>
  <x:mergeCells>
    <x:mergeCell ref="A1:J1"/>
    <x:mergeCell ref="A2:J2"/>
    <x:mergeCell ref="A3:J3"/>
  </x:mergeCells>
  <x:conditionalFormatting sqref="J6:J85">
    <x:cfRule type="containsText" dxfId="8" priority="1" operator="containsText" text="请补充"/>
    <x:cfRule type="containsText" dxfId="9" priority="2" operator="containsText" text="完整"/>
  </x:conditionalFormatting>
  <x:dataValidations count="1">
    <x:dataValidation type="list" sqref="E6:E85">
      <x:formula1>"1级｜观察线索,2级｜策略提示,3级｜表达句框"</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14" hidden="0" customWidth="1"/>
    <x:col min="4" max="4" width="44" hidden="0" customWidth="1"/>
    <x:col min="5" max="5" width="38" hidden="0" customWidth="1"/>
    <x:col min="6" max="6" width="38" hidden="0" customWidth="1"/>
    <x:col min="7" max="7" width="40" hidden="0" customWidth="1"/>
    <x:col min="8" max="8" width="42" hidden="0" customWidth="1"/>
    <x:col min="9" max="9" width="18" hidden="0" customWidth="1"/>
    <x:col min="10" max="10" width="14" hidden="0" customWidth="1"/>
  </x:cols>
  <x:sheetData>
    <x:row r="1" ht="34" customHeight="1">
      <x:c r="A1" s="34" t="str">
        <x:v>06｜评价量规</x:v>
      </x:c>
      <x:c r="B1" s="34"/>
      <x:c r="C1" s="34"/>
      <x:c r="D1" s="34"/>
      <x:c r="E1" s="34"/>
      <x:c r="F1" s="34"/>
      <x:c r="G1" s="34"/>
      <x:c r="H1" s="34"/>
      <x:c r="I1" s="34"/>
      <x:c r="J1" s="34"/>
    </x:row>
    <x:row r="2" ht="30" customHeight="1">
      <x:c r="A2" s="36" t="str">
        <x:v>评价必须能回到学生的真实判断、行动、表达或单证修改证据。</x:v>
      </x:c>
      <x:c r="B2" s="36"/>
      <x:c r="C2" s="36"/>
      <x:c r="D2" s="36"/>
      <x:c r="E2" s="36"/>
      <x:c r="F2" s="36"/>
      <x:c r="G2" s="36"/>
      <x:c r="H2" s="36"/>
      <x:c r="I2" s="36"/>
      <x:c r="J2" s="36"/>
    </x:row>
    <x:row r="3" ht="28" customHeight="1">
      <x:c r="A3" s="39" t="str">
        <x:v>每个案例三维度，权重合计 100%；全部维度可用于每轮预审。</x:v>
      </x:c>
      <x:c r="B3" s="39"/>
      <x:c r="C3" s="39"/>
      <x:c r="D3" s="39"/>
      <x:c r="E3" s="39"/>
      <x:c r="F3" s="39"/>
      <x:c r="G3" s="39"/>
      <x:c r="H3" s="39"/>
      <x:c r="I3" s="39"/>
      <x:c r="J3" s="39"/>
    </x:row>
    <x:row r="4">
      <x:c r="A4" s="32"/>
      <x:c r="B4" s="32"/>
      <x:c r="C4" s="32"/>
      <x:c r="D4" s="32"/>
      <x:c r="E4" s="32"/>
      <x:c r="F4" s="32"/>
      <x:c r="G4" s="32"/>
      <x:c r="H4" s="32"/>
      <x:c r="I4" s="32"/>
      <x:c r="J4" s="32"/>
    </x:row>
    <x:row r="5" ht="42" customHeight="1">
      <x:c r="A5" s="43" t="str">
        <x:v>案例编号（必填）</x:v>
      </x:c>
      <x:c r="B5" s="43" t="str">
        <x:v>评价维度（必填）</x:v>
      </x:c>
      <x:c r="C5" s="43" t="str">
        <x:v>权重%（必填）</x:v>
      </x:c>
      <x:c r="D5" s="43" t="str">
        <x:v>重点观察（必填）</x:v>
      </x:c>
      <x:c r="E5" s="43" t="str">
        <x:v>未达标表现（必填）</x:v>
      </x:c>
      <x:c r="F5" s="43" t="str">
        <x:v>达标表现（必填）</x:v>
      </x:c>
      <x:c r="G5" s="43" t="str">
        <x:v>优秀表现（必填）</x:v>
      </x:c>
      <x:c r="H5" s="43" t="str">
        <x:v>需要引用的证据（必填）</x:v>
      </x:c>
      <x:c r="I5" s="43" t="str">
        <x:v>用于每轮预审？</x:v>
      </x:c>
      <x:c r="J5" s="43" t="str">
        <x:v>填写检查</x:v>
      </x:c>
    </x:row>
    <x:row r="6" ht="70" customHeight="1">
      <x:c r="A6" s="46" t="str">
        <x:v>CASE-001</x:v>
      </x:c>
      <x:c r="B6" s="46" t="str">
        <x:v>局面识别与专业判断</x:v>
      </x:c>
      <x:c r="C6" s="51" t="n">
        <x:v>35</x:v>
      </x:c>
      <x:c r="D6" s="46" t="str">
        <x:v>是否识别两个关键局面、引用相关条件并解释业务后果。</x:v>
      </x:c>
      <x:c r="E6" s="46" t="str">
        <x:v>忽略核心信号，判断与情境或规则冲突。</x:v>
      </x:c>
      <x:c r="F6" s="46" t="str">
        <x:v>能识别主要问题并给出基本理由。</x:v>
      </x:c>
      <x:c r="G6" s="46" t="str">
        <x:v>准确区分边界、风险与优先级，并用于后续决策。</x:v>
      </x:c>
      <x:c r="H6" s="46" t="str">
        <x:v>学生对关键术语、条件、风险和责任的真实表述。</x:v>
      </x:c>
      <x:c r="I6" s="46" t="str">
        <x:v>是</x:v>
      </x:c>
      <x:c r="J6" s="50" t="str">
        <x:f>IF(AND(A6&lt;&gt;"",B6&lt;&gt;"",C6&lt;&gt;"",D6&lt;&gt;"",E6&lt;&gt;"",F6&lt;&gt;"",G6&lt;&gt;"",H6&lt;&gt;""),"完整","请补充")</x:f>
        <x:v>完整</x:v>
      </x:c>
    </x:row>
    <x:row r="7" ht="70" customHeight="1">
      <x:c r="A7" s="46" t="str">
        <x:v>CASE-001</x:v>
      </x:c>
      <x:c r="B7" s="46" t="str">
        <x:v>策略选择与行动可执行性</x:v>
      </x:c>
      <x:c r="C7" s="51" t="n">
        <x:v>40</x:v>
      </x:c>
      <x:c r="D7" s="46" t="str">
        <x:v>是否在适用条件下选择策略，并提出对象、条件、期限或交换回报清楚的行动。</x:v>
      </x:c>
      <x:c r="E7" s="46" t="str">
        <x:v>只有立场或情绪，没有可执行下一步。</x:v>
      </x:c>
      <x:c r="F7" s="46" t="str">
        <x:v>提出基本可行行动，但条件或后果不够完整。</x:v>
      </x:c>
      <x:c r="G7" s="46" t="str">
        <x:v>策略与局面高度匹配，能管理交换、证据或流程并推动对方回应。</x:v>
      </x:c>
      <x:c r="H7" s="46" t="str">
        <x:v>学生提出的请求、方案、条件交换或单证修改。</x:v>
      </x:c>
      <x:c r="I7" s="46" t="str">
        <x:v>是</x:v>
      </x:c>
      <x:c r="J7" s="50" t="str">
        <x:f>IF(AND(A7&lt;&gt;"",B7&lt;&gt;"",C7&lt;&gt;"",D7&lt;&gt;"",E7&lt;&gt;"",F7&lt;&gt;"",G7&lt;&gt;"",H7&lt;&gt;""),"完整","请补充")</x:f>
        <x:v>完整</x:v>
      </x:c>
    </x:row>
    <x:row r="8" ht="70" customHeight="1">
      <x:c r="A8" s="46" t="str">
        <x:v>CASE-001</x:v>
      </x:c>
      <x:c r="B8" s="46" t="str">
        <x:v>商务表达与风险控制</x:v>
      </x:c>
      <x:c r="C8" s="51" t="n">
        <x:v>25</x:v>
      </x:c>
      <x:c r="D8" s="46" t="str">
        <x:v>是否专业、清楚、克制地表达，并保护底牌、证据和合同边界。</x:v>
      </x:c>
      <x:c r="E8" s="46" t="str">
        <x:v>措辞失礼、含糊或作出未经授权的承诺。</x:v>
      </x:c>
      <x:c r="F8" s="46" t="str">
        <x:v>语气基本专业，主要信息完整。</x:v>
      </x:c>
      <x:c r="G8" s="46" t="str">
        <x:v>表达精确且维护关系，主动防范误解、越权和履约风险。</x:v>
      </x:c>
      <x:c r="H8" s="46" t="str">
        <x:v>学生的关键措辞、信息披露和条件限定。</x:v>
      </x:c>
      <x:c r="I8" s="46" t="str">
        <x:v>是</x:v>
      </x:c>
      <x:c r="J8" s="50" t="str">
        <x:f>IF(AND(A8&lt;&gt;"",B8&lt;&gt;"",C8&lt;&gt;"",D8&lt;&gt;"",E8&lt;&gt;"",F8&lt;&gt;"",G8&lt;&gt;"",H8&lt;&gt;""),"完整","请补充")</x:f>
        <x:v>完整</x:v>
      </x:c>
    </x:row>
    <x:row r="9" ht="70" customHeight="1">
      <x:c r="A9" s="46" t="str">
        <x:v>CASE-002</x:v>
      </x:c>
      <x:c r="B9" s="46" t="str">
        <x:v>局面识别与专业判断</x:v>
      </x:c>
      <x:c r="C9" s="51" t="n">
        <x:v>35</x:v>
      </x:c>
      <x:c r="D9" s="46" t="str">
        <x:v>是否识别两个关键局面、引用相关条件并解释业务后果。</x:v>
      </x:c>
      <x:c r="E9" s="46" t="str">
        <x:v>忽略核心信号，判断与情境或规则冲突。</x:v>
      </x:c>
      <x:c r="F9" s="46" t="str">
        <x:v>能识别主要问题并给出基本理由。</x:v>
      </x:c>
      <x:c r="G9" s="46" t="str">
        <x:v>准确区分边界、风险与优先级，并用于后续决策。</x:v>
      </x:c>
      <x:c r="H9" s="46" t="str">
        <x:v>学生对关键术语、条件、风险和责任的真实表述。</x:v>
      </x:c>
      <x:c r="I9" s="46" t="str">
        <x:v>是</x:v>
      </x:c>
      <x:c r="J9" s="50" t="str">
        <x:f>IF(AND(A9&lt;&gt;"",B9&lt;&gt;"",C9&lt;&gt;"",D9&lt;&gt;"",E9&lt;&gt;"",F9&lt;&gt;"",G9&lt;&gt;"",H9&lt;&gt;""),"完整","请补充")</x:f>
        <x:v>完整</x:v>
      </x:c>
    </x:row>
    <x:row r="10" ht="70" customHeight="1">
      <x:c r="A10" s="46" t="str">
        <x:v>CASE-002</x:v>
      </x:c>
      <x:c r="B10" s="46" t="str">
        <x:v>策略选择与行动可执行性</x:v>
      </x:c>
      <x:c r="C10" s="51" t="n">
        <x:v>40</x:v>
      </x:c>
      <x:c r="D10" s="46" t="str">
        <x:v>是否在适用条件下选择策略，并提出对象、条件、期限或交换回报清楚的行动。</x:v>
      </x:c>
      <x:c r="E10" s="46" t="str">
        <x:v>只有立场或情绪，没有可执行下一步。</x:v>
      </x:c>
      <x:c r="F10" s="46" t="str">
        <x:v>提出基本可行行动，但条件或后果不够完整。</x:v>
      </x:c>
      <x:c r="G10" s="46" t="str">
        <x:v>策略与局面高度匹配，能管理交换、证据或流程并推动对方回应。</x:v>
      </x:c>
      <x:c r="H10" s="46" t="str">
        <x:v>学生提出的请求、方案、条件交换或单证修改。</x:v>
      </x:c>
      <x:c r="I10" s="46" t="str">
        <x:v>是</x:v>
      </x:c>
      <x:c r="J10" s="50" t="str">
        <x:f>IF(AND(A10&lt;&gt;"",B10&lt;&gt;"",C10&lt;&gt;"",D10&lt;&gt;"",E10&lt;&gt;"",F10&lt;&gt;"",G10&lt;&gt;"",H10&lt;&gt;""),"完整","请补充")</x:f>
        <x:v>完整</x:v>
      </x:c>
    </x:row>
    <x:row r="11" ht="70" customHeight="1">
      <x:c r="A11" s="46" t="str">
        <x:v>CASE-002</x:v>
      </x:c>
      <x:c r="B11" s="46" t="str">
        <x:v>商务表达与风险控制</x:v>
      </x:c>
      <x:c r="C11" s="51" t="n">
        <x:v>25</x:v>
      </x:c>
      <x:c r="D11" s="46" t="str">
        <x:v>是否专业、清楚、克制地表达，并保护底牌、证据和合同边界。</x:v>
      </x:c>
      <x:c r="E11" s="46" t="str">
        <x:v>措辞失礼、含糊或作出未经授权的承诺。</x:v>
      </x:c>
      <x:c r="F11" s="46" t="str">
        <x:v>语气基本专业，主要信息完整。</x:v>
      </x:c>
      <x:c r="G11" s="46" t="str">
        <x:v>表达精确且维护关系，主动防范误解、越权和履约风险。</x:v>
      </x:c>
      <x:c r="H11" s="46" t="str">
        <x:v>学生的关键措辞、信息披露和条件限定。</x:v>
      </x:c>
      <x:c r="I11" s="46" t="str">
        <x:v>是</x:v>
      </x:c>
      <x:c r="J11" s="50" t="str">
        <x:f>IF(AND(A11&lt;&gt;"",B11&lt;&gt;"",C11&lt;&gt;"",D11&lt;&gt;"",E11&lt;&gt;"",F11&lt;&gt;"",G11&lt;&gt;"",H11&lt;&gt;""),"完整","请补充")</x:f>
        <x:v>完整</x:v>
      </x:c>
    </x:row>
    <x:row r="12" ht="70" customHeight="1">
      <x:c r="A12" s="46" t="str">
        <x:v>CASE-003</x:v>
      </x:c>
      <x:c r="B12" s="46" t="str">
        <x:v>局面识别与专业判断</x:v>
      </x:c>
      <x:c r="C12" s="51" t="n">
        <x:v>35</x:v>
      </x:c>
      <x:c r="D12" s="46" t="str">
        <x:v>是否识别两个关键局面、引用相关条件并解释业务后果。</x:v>
      </x:c>
      <x:c r="E12" s="46" t="str">
        <x:v>忽略核心信号，判断与情境或规则冲突。</x:v>
      </x:c>
      <x:c r="F12" s="46" t="str">
        <x:v>能识别主要问题并给出基本理由。</x:v>
      </x:c>
      <x:c r="G12" s="46" t="str">
        <x:v>准确区分边界、风险与优先级，并用于后续决策。</x:v>
      </x:c>
      <x:c r="H12" s="46" t="str">
        <x:v>学生对关键术语、条件、风险和责任的真实表述。</x:v>
      </x:c>
      <x:c r="I12" s="46" t="str">
        <x:v>是</x:v>
      </x:c>
      <x:c r="J12" s="50" t="str">
        <x:f>IF(AND(A12&lt;&gt;"",B12&lt;&gt;"",C12&lt;&gt;"",D12&lt;&gt;"",E12&lt;&gt;"",F12&lt;&gt;"",G12&lt;&gt;"",H12&lt;&gt;""),"完整","请补充")</x:f>
        <x:v>完整</x:v>
      </x:c>
    </x:row>
    <x:row r="13" ht="70" customHeight="1">
      <x:c r="A13" s="46" t="str">
        <x:v>CASE-003</x:v>
      </x:c>
      <x:c r="B13" s="46" t="str">
        <x:v>策略选择与行动可执行性</x:v>
      </x:c>
      <x:c r="C13" s="51" t="n">
        <x:v>40</x:v>
      </x:c>
      <x:c r="D13" s="46" t="str">
        <x:v>是否在适用条件下选择策略，并提出对象、条件、期限或交换回报清楚的行动。</x:v>
      </x:c>
      <x:c r="E13" s="46" t="str">
        <x:v>只有立场或情绪，没有可执行下一步。</x:v>
      </x:c>
      <x:c r="F13" s="46" t="str">
        <x:v>提出基本可行行动，但条件或后果不够完整。</x:v>
      </x:c>
      <x:c r="G13" s="46" t="str">
        <x:v>策略与局面高度匹配，能管理交换、证据或流程并推动对方回应。</x:v>
      </x:c>
      <x:c r="H13" s="46" t="str">
        <x:v>学生提出的请求、方案、条件交换或单证修改。</x:v>
      </x:c>
      <x:c r="I13" s="46" t="str">
        <x:v>是</x:v>
      </x:c>
      <x:c r="J13" s="50" t="str">
        <x:f>IF(AND(A13&lt;&gt;"",B13&lt;&gt;"",C13&lt;&gt;"",D13&lt;&gt;"",E13&lt;&gt;"",F13&lt;&gt;"",G13&lt;&gt;"",H13&lt;&gt;""),"完整","请补充")</x:f>
        <x:v>完整</x:v>
      </x:c>
    </x:row>
    <x:row r="14" ht="70" customHeight="1">
      <x:c r="A14" s="46" t="str">
        <x:v>CASE-003</x:v>
      </x:c>
      <x:c r="B14" s="46" t="str">
        <x:v>商务表达与风险控制</x:v>
      </x:c>
      <x:c r="C14" s="51" t="n">
        <x:v>25</x:v>
      </x:c>
      <x:c r="D14" s="46" t="str">
        <x:v>是否专业、清楚、克制地表达，并保护底牌、证据和合同边界。</x:v>
      </x:c>
      <x:c r="E14" s="46" t="str">
        <x:v>措辞失礼、含糊或作出未经授权的承诺。</x:v>
      </x:c>
      <x:c r="F14" s="46" t="str">
        <x:v>语气基本专业，主要信息完整。</x:v>
      </x:c>
      <x:c r="G14" s="46" t="str">
        <x:v>表达精确且维护关系，主动防范误解、越权和履约风险。</x:v>
      </x:c>
      <x:c r="H14" s="46" t="str">
        <x:v>学生的关键措辞、信息披露和条件限定。</x:v>
      </x:c>
      <x:c r="I14" s="46" t="str">
        <x:v>是</x:v>
      </x:c>
      <x:c r="J14" s="50" t="str">
        <x:f>IF(AND(A14&lt;&gt;"",B14&lt;&gt;"",C14&lt;&gt;"",D14&lt;&gt;"",E14&lt;&gt;"",F14&lt;&gt;"",G14&lt;&gt;"",H14&lt;&gt;""),"完整","请补充")</x:f>
        <x:v>完整</x:v>
      </x:c>
    </x:row>
    <x:row r="15" ht="70" customHeight="1">
      <x:c r="A15" s="46" t="str">
        <x:v>CASE-004</x:v>
      </x:c>
      <x:c r="B15" s="46" t="str">
        <x:v>局面识别与专业判断</x:v>
      </x:c>
      <x:c r="C15" s="51" t="n">
        <x:v>35</x:v>
      </x:c>
      <x:c r="D15" s="46" t="str">
        <x:v>是否识别两个关键局面、引用相关条件并解释业务后果。</x:v>
      </x:c>
      <x:c r="E15" s="46" t="str">
        <x:v>忽略核心信号，判断与情境或规则冲突。</x:v>
      </x:c>
      <x:c r="F15" s="46" t="str">
        <x:v>能识别主要问题并给出基本理由。</x:v>
      </x:c>
      <x:c r="G15" s="46" t="str">
        <x:v>准确区分边界、风险与优先级，并用于后续决策。</x:v>
      </x:c>
      <x:c r="H15" s="46" t="str">
        <x:v>学生对关键术语、条件、风险和责任的真实表述。</x:v>
      </x:c>
      <x:c r="I15" s="46" t="str">
        <x:v>是</x:v>
      </x:c>
      <x:c r="J15" s="50" t="str">
        <x:f>IF(AND(A15&lt;&gt;"",B15&lt;&gt;"",C15&lt;&gt;"",D15&lt;&gt;"",E15&lt;&gt;"",F15&lt;&gt;"",G15&lt;&gt;"",H15&lt;&gt;""),"完整","请补充")</x:f>
        <x:v>完整</x:v>
      </x:c>
    </x:row>
    <x:row r="16" ht="70" customHeight="1">
      <x:c r="A16" s="46" t="str">
        <x:v>CASE-004</x:v>
      </x:c>
      <x:c r="B16" s="46" t="str">
        <x:v>策略选择与行动可执行性</x:v>
      </x:c>
      <x:c r="C16" s="51" t="n">
        <x:v>40</x:v>
      </x:c>
      <x:c r="D16" s="46" t="str">
        <x:v>是否在适用条件下选择策略，并提出对象、条件、期限或交换回报清楚的行动。</x:v>
      </x:c>
      <x:c r="E16" s="46" t="str">
        <x:v>只有立场或情绪，没有可执行下一步。</x:v>
      </x:c>
      <x:c r="F16" s="46" t="str">
        <x:v>提出基本可行行动，但条件或后果不够完整。</x:v>
      </x:c>
      <x:c r="G16" s="46" t="str">
        <x:v>策略与局面高度匹配，能管理交换、证据或流程并推动对方回应。</x:v>
      </x:c>
      <x:c r="H16" s="46" t="str">
        <x:v>学生提出的请求、方案、条件交换或单证修改。</x:v>
      </x:c>
      <x:c r="I16" s="46" t="str">
        <x:v>是</x:v>
      </x:c>
      <x:c r="J16" s="50" t="str">
        <x:f>IF(AND(A16&lt;&gt;"",B16&lt;&gt;"",C16&lt;&gt;"",D16&lt;&gt;"",E16&lt;&gt;"",F16&lt;&gt;"",G16&lt;&gt;"",H16&lt;&gt;""),"完整","请补充")</x:f>
        <x:v>完整</x:v>
      </x:c>
    </x:row>
    <x:row r="17" ht="70" customHeight="1">
      <x:c r="A17" s="46" t="str">
        <x:v>CASE-004</x:v>
      </x:c>
      <x:c r="B17" s="46" t="str">
        <x:v>商务表达与风险控制</x:v>
      </x:c>
      <x:c r="C17" s="51" t="n">
        <x:v>25</x:v>
      </x:c>
      <x:c r="D17" s="46" t="str">
        <x:v>是否专业、清楚、克制地表达，并保护底牌、证据和合同边界。</x:v>
      </x:c>
      <x:c r="E17" s="46" t="str">
        <x:v>措辞失礼、含糊或作出未经授权的承诺。</x:v>
      </x:c>
      <x:c r="F17" s="46" t="str">
        <x:v>语气基本专业，主要信息完整。</x:v>
      </x:c>
      <x:c r="G17" s="46" t="str">
        <x:v>表达精确且维护关系，主动防范误解、越权和履约风险。</x:v>
      </x:c>
      <x:c r="H17" s="46" t="str">
        <x:v>学生的关键措辞、信息披露和条件限定。</x:v>
      </x:c>
      <x:c r="I17" s="46" t="str">
        <x:v>是</x:v>
      </x:c>
      <x:c r="J17" s="50" t="str">
        <x:f>IF(AND(A17&lt;&gt;"",B17&lt;&gt;"",C17&lt;&gt;"",D17&lt;&gt;"",E17&lt;&gt;"",F17&lt;&gt;"",G17&lt;&gt;"",H17&lt;&gt;""),"完整","请补充")</x:f>
        <x:v>完整</x:v>
      </x:c>
    </x:row>
    <x:row r="18" ht="70" customHeight="1">
      <x:c r="A18" s="46" t="str">
        <x:v>CASE-005</x:v>
      </x:c>
      <x:c r="B18" s="46" t="str">
        <x:v>局面识别与专业判断</x:v>
      </x:c>
      <x:c r="C18" s="51" t="n">
        <x:v>35</x:v>
      </x:c>
      <x:c r="D18" s="46" t="str">
        <x:v>是否识别两个关键局面、引用相关条件并解释业务后果。</x:v>
      </x:c>
      <x:c r="E18" s="46" t="str">
        <x:v>忽略核心信号，判断与情境或规则冲突。</x:v>
      </x:c>
      <x:c r="F18" s="46" t="str">
        <x:v>能识别主要问题并给出基本理由。</x:v>
      </x:c>
      <x:c r="G18" s="46" t="str">
        <x:v>准确区分边界、风险与优先级，并用于后续决策。</x:v>
      </x:c>
      <x:c r="H18" s="46" t="str">
        <x:v>学生对关键术语、条件、风险和责任的真实表述。</x:v>
      </x:c>
      <x:c r="I18" s="46" t="str">
        <x:v>是</x:v>
      </x:c>
      <x:c r="J18" s="50" t="str">
        <x:f>IF(AND(A18&lt;&gt;"",B18&lt;&gt;"",C18&lt;&gt;"",D18&lt;&gt;"",E18&lt;&gt;"",F18&lt;&gt;"",G18&lt;&gt;"",H18&lt;&gt;""),"完整","请补充")</x:f>
        <x:v>完整</x:v>
      </x:c>
    </x:row>
    <x:row r="19" ht="70" customHeight="1">
      <x:c r="A19" s="46" t="str">
        <x:v>CASE-005</x:v>
      </x:c>
      <x:c r="B19" s="46" t="str">
        <x:v>策略选择与行动可执行性</x:v>
      </x:c>
      <x:c r="C19" s="51" t="n">
        <x:v>40</x:v>
      </x:c>
      <x:c r="D19" s="46" t="str">
        <x:v>是否在适用条件下选择策略，并提出对象、条件、期限或交换回报清楚的行动。</x:v>
      </x:c>
      <x:c r="E19" s="46" t="str">
        <x:v>只有立场或情绪，没有可执行下一步。</x:v>
      </x:c>
      <x:c r="F19" s="46" t="str">
        <x:v>提出基本可行行动，但条件或后果不够完整。</x:v>
      </x:c>
      <x:c r="G19" s="46" t="str">
        <x:v>策略与局面高度匹配，能管理交换、证据或流程并推动对方回应。</x:v>
      </x:c>
      <x:c r="H19" s="46" t="str">
        <x:v>学生提出的请求、方案、条件交换或单证修改。</x:v>
      </x:c>
      <x:c r="I19" s="46" t="str">
        <x:v>是</x:v>
      </x:c>
      <x:c r="J19" s="50" t="str">
        <x:f>IF(AND(A19&lt;&gt;"",B19&lt;&gt;"",C19&lt;&gt;"",D19&lt;&gt;"",E19&lt;&gt;"",F19&lt;&gt;"",G19&lt;&gt;"",H19&lt;&gt;""),"完整","请补充")</x:f>
        <x:v>完整</x:v>
      </x:c>
    </x:row>
    <x:row r="20" ht="70" customHeight="1">
      <x:c r="A20" s="46" t="str">
        <x:v>CASE-005</x:v>
      </x:c>
      <x:c r="B20" s="46" t="str">
        <x:v>商务表达与风险控制</x:v>
      </x:c>
      <x:c r="C20" s="51" t="n">
        <x:v>25</x:v>
      </x:c>
      <x:c r="D20" s="46" t="str">
        <x:v>是否专业、清楚、克制地表达，并保护底牌、证据和合同边界。</x:v>
      </x:c>
      <x:c r="E20" s="46" t="str">
        <x:v>措辞失礼、含糊或作出未经授权的承诺。</x:v>
      </x:c>
      <x:c r="F20" s="46" t="str">
        <x:v>语气基本专业，主要信息完整。</x:v>
      </x:c>
      <x:c r="G20" s="46" t="str">
        <x:v>表达精确且维护关系，主动防范误解、越权和履约风险。</x:v>
      </x:c>
      <x:c r="H20" s="46" t="str">
        <x:v>学生的关键措辞、信息披露和条件限定。</x:v>
      </x:c>
      <x:c r="I20" s="46" t="str">
        <x:v>是</x:v>
      </x:c>
      <x:c r="J20" s="50" t="str">
        <x:f>IF(AND(A20&lt;&gt;"",B20&lt;&gt;"",C20&lt;&gt;"",D20&lt;&gt;"",E20&lt;&gt;"",F20&lt;&gt;"",G20&lt;&gt;"",H20&lt;&gt;""),"完整","请补充")</x:f>
        <x:v>完整</x:v>
      </x:c>
    </x:row>
    <x:row r="21" ht="70" customHeight="1">
      <x:c r="A21" s="46" t="str">
        <x:v>CASE-006</x:v>
      </x:c>
      <x:c r="B21" s="46" t="str">
        <x:v>局面识别与专业判断</x:v>
      </x:c>
      <x:c r="C21" s="51" t="n">
        <x:v>35</x:v>
      </x:c>
      <x:c r="D21" s="46" t="str">
        <x:v>是否识别两个关键局面、引用相关条件并解释业务后果。</x:v>
      </x:c>
      <x:c r="E21" s="46" t="str">
        <x:v>忽略核心信号，判断与情境或规则冲突。</x:v>
      </x:c>
      <x:c r="F21" s="46" t="str">
        <x:v>能识别主要问题并给出基本理由。</x:v>
      </x:c>
      <x:c r="G21" s="46" t="str">
        <x:v>准确区分边界、风险与优先级，并用于后续决策。</x:v>
      </x:c>
      <x:c r="H21" s="46" t="str">
        <x:v>学生对关键术语、条件、风险和责任的真实表述。</x:v>
      </x:c>
      <x:c r="I21" s="46" t="str">
        <x:v>是</x:v>
      </x:c>
      <x:c r="J21" s="50" t="str">
        <x:f>IF(AND(A21&lt;&gt;"",B21&lt;&gt;"",C21&lt;&gt;"",D21&lt;&gt;"",E21&lt;&gt;"",F21&lt;&gt;"",G21&lt;&gt;"",H21&lt;&gt;""),"完整","请补充")</x:f>
        <x:v>完整</x:v>
      </x:c>
    </x:row>
    <x:row r="22" ht="70" customHeight="1">
      <x:c r="A22" s="46" t="str">
        <x:v>CASE-006</x:v>
      </x:c>
      <x:c r="B22" s="46" t="str">
        <x:v>策略选择与行动可执行性</x:v>
      </x:c>
      <x:c r="C22" s="51" t="n">
        <x:v>40</x:v>
      </x:c>
      <x:c r="D22" s="46" t="str">
        <x:v>是否在适用条件下选择策略，并提出对象、条件、期限或交换回报清楚的行动。</x:v>
      </x:c>
      <x:c r="E22" s="46" t="str">
        <x:v>只有立场或情绪，没有可执行下一步。</x:v>
      </x:c>
      <x:c r="F22" s="46" t="str">
        <x:v>提出基本可行行动，但条件或后果不够完整。</x:v>
      </x:c>
      <x:c r="G22" s="46" t="str">
        <x:v>策略与局面高度匹配，能管理交换、证据或流程并推动对方回应。</x:v>
      </x:c>
      <x:c r="H22" s="46" t="str">
        <x:v>学生提出的请求、方案、条件交换或单证修改。</x:v>
      </x:c>
      <x:c r="I22" s="46" t="str">
        <x:v>是</x:v>
      </x:c>
      <x:c r="J22" s="50" t="str">
        <x:f>IF(AND(A22&lt;&gt;"",B22&lt;&gt;"",C22&lt;&gt;"",D22&lt;&gt;"",E22&lt;&gt;"",F22&lt;&gt;"",G22&lt;&gt;"",H22&lt;&gt;""),"完整","请补充")</x:f>
        <x:v>完整</x:v>
      </x:c>
    </x:row>
    <x:row r="23" ht="70" customHeight="1">
      <x:c r="A23" s="46" t="str">
        <x:v>CASE-006</x:v>
      </x:c>
      <x:c r="B23" s="46" t="str">
        <x:v>商务表达与风险控制</x:v>
      </x:c>
      <x:c r="C23" s="51" t="n">
        <x:v>25</x:v>
      </x:c>
      <x:c r="D23" s="46" t="str">
        <x:v>是否专业、清楚、克制地表达，并保护底牌、证据和合同边界。</x:v>
      </x:c>
      <x:c r="E23" s="46" t="str">
        <x:v>措辞失礼、含糊或作出未经授权的承诺。</x:v>
      </x:c>
      <x:c r="F23" s="46" t="str">
        <x:v>语气基本专业，主要信息完整。</x:v>
      </x:c>
      <x:c r="G23" s="46" t="str">
        <x:v>表达精确且维护关系，主动防范误解、越权和履约风险。</x:v>
      </x:c>
      <x:c r="H23" s="46" t="str">
        <x:v>学生的关键措辞、信息披露和条件限定。</x:v>
      </x:c>
      <x:c r="I23" s="46" t="str">
        <x:v>是</x:v>
      </x:c>
      <x:c r="J23" s="50" t="str">
        <x:f>IF(AND(A23&lt;&gt;"",B23&lt;&gt;"",C23&lt;&gt;"",D23&lt;&gt;"",E23&lt;&gt;"",F23&lt;&gt;"",G23&lt;&gt;"",H23&lt;&gt;""),"完整","请补充")</x:f>
        <x:v>完整</x:v>
      </x:c>
    </x:row>
    <x:row r="24" ht="70" customHeight="1">
      <x:c r="A24" s="46" t="str">
        <x:v>CASE-007</x:v>
      </x:c>
      <x:c r="B24" s="46" t="str">
        <x:v>局面识别与专业判断</x:v>
      </x:c>
      <x:c r="C24" s="51" t="n">
        <x:v>35</x:v>
      </x:c>
      <x:c r="D24" s="46" t="str">
        <x:v>是否识别两个关键局面、引用相关条件并解释业务后果。</x:v>
      </x:c>
      <x:c r="E24" s="46" t="str">
        <x:v>忽略核心信号，判断与情境或规则冲突。</x:v>
      </x:c>
      <x:c r="F24" s="46" t="str">
        <x:v>能识别主要问题并给出基本理由。</x:v>
      </x:c>
      <x:c r="G24" s="46" t="str">
        <x:v>准确区分边界、风险与优先级，并用于后续决策。</x:v>
      </x:c>
      <x:c r="H24" s="46" t="str">
        <x:v>学生对关键术语、条件、风险和责任的真实表述。</x:v>
      </x:c>
      <x:c r="I24" s="46" t="str">
        <x:v>是</x:v>
      </x:c>
      <x:c r="J24" s="50" t="str">
        <x:f>IF(AND(A24&lt;&gt;"",B24&lt;&gt;"",C24&lt;&gt;"",D24&lt;&gt;"",E24&lt;&gt;"",F24&lt;&gt;"",G24&lt;&gt;"",H24&lt;&gt;""),"完整","请补充")</x:f>
        <x:v>完整</x:v>
      </x:c>
    </x:row>
    <x:row r="25" ht="70" customHeight="1">
      <x:c r="A25" s="46" t="str">
        <x:v>CASE-007</x:v>
      </x:c>
      <x:c r="B25" s="46" t="str">
        <x:v>策略选择与行动可执行性</x:v>
      </x:c>
      <x:c r="C25" s="51" t="n">
        <x:v>40</x:v>
      </x:c>
      <x:c r="D25" s="46" t="str">
        <x:v>是否在适用条件下选择策略，并提出对象、条件、期限或交换回报清楚的行动。</x:v>
      </x:c>
      <x:c r="E25" s="46" t="str">
        <x:v>只有立场或情绪，没有可执行下一步。</x:v>
      </x:c>
      <x:c r="F25" s="46" t="str">
        <x:v>提出基本可行行动，但条件或后果不够完整。</x:v>
      </x:c>
      <x:c r="G25" s="46" t="str">
        <x:v>策略与局面高度匹配，能管理交换、证据或流程并推动对方回应。</x:v>
      </x:c>
      <x:c r="H25" s="46" t="str">
        <x:v>学生提出的请求、方案、条件交换或单证修改。</x:v>
      </x:c>
      <x:c r="I25" s="46" t="str">
        <x:v>是</x:v>
      </x:c>
      <x:c r="J25" s="50" t="str">
        <x:f>IF(AND(A25&lt;&gt;"",B25&lt;&gt;"",C25&lt;&gt;"",D25&lt;&gt;"",E25&lt;&gt;"",F25&lt;&gt;"",G25&lt;&gt;"",H25&lt;&gt;""),"完整","请补充")</x:f>
        <x:v>完整</x:v>
      </x:c>
    </x:row>
    <x:row r="26" ht="70" customHeight="1">
      <x:c r="A26" s="46" t="str">
        <x:v>CASE-007</x:v>
      </x:c>
      <x:c r="B26" s="46" t="str">
        <x:v>商务表达与风险控制</x:v>
      </x:c>
      <x:c r="C26" s="51" t="n">
        <x:v>25</x:v>
      </x:c>
      <x:c r="D26" s="46" t="str">
        <x:v>是否专业、清楚、克制地表达，并保护底牌、证据和合同边界。</x:v>
      </x:c>
      <x:c r="E26" s="46" t="str">
        <x:v>措辞失礼、含糊或作出未经授权的承诺。</x:v>
      </x:c>
      <x:c r="F26" s="46" t="str">
        <x:v>语气基本专业，主要信息完整。</x:v>
      </x:c>
      <x:c r="G26" s="46" t="str">
        <x:v>表达精确且维护关系，主动防范误解、越权和履约风险。</x:v>
      </x:c>
      <x:c r="H26" s="46" t="str">
        <x:v>学生的关键措辞、信息披露和条件限定。</x:v>
      </x:c>
      <x:c r="I26" s="46" t="str">
        <x:v>是</x:v>
      </x:c>
      <x:c r="J26" s="50" t="str">
        <x:f>IF(AND(A26&lt;&gt;"",B26&lt;&gt;"",C26&lt;&gt;"",D26&lt;&gt;"",E26&lt;&gt;"",F26&lt;&gt;"",G26&lt;&gt;"",H26&lt;&gt;""),"完整","请补充")</x:f>
        <x:v>完整</x:v>
      </x:c>
    </x:row>
    <x:row r="27" ht="70" customHeight="1">
      <x:c r="A27" s="46" t="str">
        <x:v>CASE-008</x:v>
      </x:c>
      <x:c r="B27" s="46" t="str">
        <x:v>局面识别与专业判断</x:v>
      </x:c>
      <x:c r="C27" s="51" t="n">
        <x:v>35</x:v>
      </x:c>
      <x:c r="D27" s="46" t="str">
        <x:v>是否识别两个关键局面、引用相关条件并解释业务后果。</x:v>
      </x:c>
      <x:c r="E27" s="46" t="str">
        <x:v>忽略核心信号，判断与情境或规则冲突。</x:v>
      </x:c>
      <x:c r="F27" s="46" t="str">
        <x:v>能识别主要问题并给出基本理由。</x:v>
      </x:c>
      <x:c r="G27" s="46" t="str">
        <x:v>准确区分边界、风险与优先级，并用于后续决策。</x:v>
      </x:c>
      <x:c r="H27" s="46" t="str">
        <x:v>学生对关键术语、条件、风险和责任的真实表述。</x:v>
      </x:c>
      <x:c r="I27" s="46" t="str">
        <x:v>是</x:v>
      </x:c>
      <x:c r="J27" s="50" t="str">
        <x:f>IF(AND(A27&lt;&gt;"",B27&lt;&gt;"",C27&lt;&gt;"",D27&lt;&gt;"",E27&lt;&gt;"",F27&lt;&gt;"",G27&lt;&gt;"",H27&lt;&gt;""),"完整","请补充")</x:f>
        <x:v>完整</x:v>
      </x:c>
    </x:row>
    <x:row r="28" ht="70" customHeight="1">
      <x:c r="A28" s="46" t="str">
        <x:v>CASE-008</x:v>
      </x:c>
      <x:c r="B28" s="46" t="str">
        <x:v>策略选择与行动可执行性</x:v>
      </x:c>
      <x:c r="C28" s="51" t="n">
        <x:v>40</x:v>
      </x:c>
      <x:c r="D28" s="46" t="str">
        <x:v>是否在适用条件下选择策略，并提出对象、条件、期限或交换回报清楚的行动。</x:v>
      </x:c>
      <x:c r="E28" s="46" t="str">
        <x:v>只有立场或情绪，没有可执行下一步。</x:v>
      </x:c>
      <x:c r="F28" s="46" t="str">
        <x:v>提出基本可行行动，但条件或后果不够完整。</x:v>
      </x:c>
      <x:c r="G28" s="46" t="str">
        <x:v>策略与局面高度匹配，能管理交换、证据或流程并推动对方回应。</x:v>
      </x:c>
      <x:c r="H28" s="46" t="str">
        <x:v>学生提出的请求、方案、条件交换或单证修改。</x:v>
      </x:c>
      <x:c r="I28" s="46" t="str">
        <x:v>是</x:v>
      </x:c>
      <x:c r="J28" s="50" t="str">
        <x:f>IF(AND(A28&lt;&gt;"",B28&lt;&gt;"",C28&lt;&gt;"",D28&lt;&gt;"",E28&lt;&gt;"",F28&lt;&gt;"",G28&lt;&gt;"",H28&lt;&gt;""),"完整","请补充")</x:f>
        <x:v>完整</x:v>
      </x:c>
    </x:row>
    <x:row r="29" ht="70" customHeight="1">
      <x:c r="A29" s="46" t="str">
        <x:v>CASE-008</x:v>
      </x:c>
      <x:c r="B29" s="46" t="str">
        <x:v>商务表达与风险控制</x:v>
      </x:c>
      <x:c r="C29" s="51" t="n">
        <x:v>25</x:v>
      </x:c>
      <x:c r="D29" s="46" t="str">
        <x:v>是否专业、清楚、克制地表达，并保护底牌、证据和合同边界。</x:v>
      </x:c>
      <x:c r="E29" s="46" t="str">
        <x:v>措辞失礼、含糊或作出未经授权的承诺。</x:v>
      </x:c>
      <x:c r="F29" s="46" t="str">
        <x:v>语气基本专业，主要信息完整。</x:v>
      </x:c>
      <x:c r="G29" s="46" t="str">
        <x:v>表达精确且维护关系，主动防范误解、越权和履约风险。</x:v>
      </x:c>
      <x:c r="H29" s="46" t="str">
        <x:v>学生的关键措辞、信息披露和条件限定。</x:v>
      </x:c>
      <x:c r="I29" s="46" t="str">
        <x:v>是</x:v>
      </x:c>
      <x:c r="J29" s="50" t="str">
        <x:f>IF(AND(A29&lt;&gt;"",B29&lt;&gt;"",C29&lt;&gt;"",D29&lt;&gt;"",E29&lt;&gt;"",F29&lt;&gt;"",G29&lt;&gt;"",H29&lt;&gt;""),"完整","请补充")</x:f>
        <x:v>完整</x:v>
      </x:c>
    </x:row>
    <x:row r="30" ht="70" customHeight="1">
      <x:c r="A30" s="46" t="str">
        <x:v>CASE-009</x:v>
      </x:c>
      <x:c r="B30" s="46" t="str">
        <x:v>局面识别与专业判断</x:v>
      </x:c>
      <x:c r="C30" s="51" t="n">
        <x:v>35</x:v>
      </x:c>
      <x:c r="D30" s="46" t="str">
        <x:v>是否识别两个关键局面、引用相关条件并解释业务后果。</x:v>
      </x:c>
      <x:c r="E30" s="46" t="str">
        <x:v>忽略核心信号，判断与情境或规则冲突。</x:v>
      </x:c>
      <x:c r="F30" s="46" t="str">
        <x:v>能识别主要问题并给出基本理由。</x:v>
      </x:c>
      <x:c r="G30" s="46" t="str">
        <x:v>准确区分边界、风险与优先级，并用于后续决策。</x:v>
      </x:c>
      <x:c r="H30" s="46" t="str">
        <x:v>学生对关键术语、条件、风险和责任的真实表述。</x:v>
      </x:c>
      <x:c r="I30" s="46" t="str">
        <x:v>是</x:v>
      </x:c>
      <x:c r="J30" s="50" t="str">
        <x:f>IF(AND(A30&lt;&gt;"",B30&lt;&gt;"",C30&lt;&gt;"",D30&lt;&gt;"",E30&lt;&gt;"",F30&lt;&gt;"",G30&lt;&gt;"",H30&lt;&gt;""),"完整","请补充")</x:f>
        <x:v>完整</x:v>
      </x:c>
    </x:row>
    <x:row r="31" ht="70" customHeight="1">
      <x:c r="A31" s="46" t="str">
        <x:v>CASE-009</x:v>
      </x:c>
      <x:c r="B31" s="46" t="str">
        <x:v>策略选择与行动可执行性</x:v>
      </x:c>
      <x:c r="C31" s="51" t="n">
        <x:v>40</x:v>
      </x:c>
      <x:c r="D31" s="46" t="str">
        <x:v>是否在适用条件下选择策略，并提出对象、条件、期限或交换回报清楚的行动。</x:v>
      </x:c>
      <x:c r="E31" s="46" t="str">
        <x:v>只有立场或情绪，没有可执行下一步。</x:v>
      </x:c>
      <x:c r="F31" s="46" t="str">
        <x:v>提出基本可行行动，但条件或后果不够完整。</x:v>
      </x:c>
      <x:c r="G31" s="46" t="str">
        <x:v>策略与局面高度匹配，能管理交换、证据或流程并推动对方回应。</x:v>
      </x:c>
      <x:c r="H31" s="46" t="str">
        <x:v>学生提出的请求、方案、条件交换或单证修改。</x:v>
      </x:c>
      <x:c r="I31" s="46" t="str">
        <x:v>是</x:v>
      </x:c>
      <x:c r="J31" s="50" t="str">
        <x:f>IF(AND(A31&lt;&gt;"",B31&lt;&gt;"",C31&lt;&gt;"",D31&lt;&gt;"",E31&lt;&gt;"",F31&lt;&gt;"",G31&lt;&gt;"",H31&lt;&gt;""),"完整","请补充")</x:f>
        <x:v>完整</x:v>
      </x:c>
    </x:row>
    <x:row r="32" ht="70" customHeight="1">
      <x:c r="A32" s="46" t="str">
        <x:v>CASE-009</x:v>
      </x:c>
      <x:c r="B32" s="46" t="str">
        <x:v>商务表达与风险控制</x:v>
      </x:c>
      <x:c r="C32" s="51" t="n">
        <x:v>25</x:v>
      </x:c>
      <x:c r="D32" s="46" t="str">
        <x:v>是否专业、清楚、克制地表达，并保护底牌、证据和合同边界。</x:v>
      </x:c>
      <x:c r="E32" s="46" t="str">
        <x:v>措辞失礼、含糊或作出未经授权的承诺。</x:v>
      </x:c>
      <x:c r="F32" s="46" t="str">
        <x:v>语气基本专业，主要信息完整。</x:v>
      </x:c>
      <x:c r="G32" s="46" t="str">
        <x:v>表达精确且维护关系，主动防范误解、越权和履约风险。</x:v>
      </x:c>
      <x:c r="H32" s="46" t="str">
        <x:v>学生的关键措辞、信息披露和条件限定。</x:v>
      </x:c>
      <x:c r="I32" s="46" t="str">
        <x:v>是</x:v>
      </x:c>
      <x:c r="J32" s="50" t="str">
        <x:f>IF(AND(A32&lt;&gt;"",B32&lt;&gt;"",C32&lt;&gt;"",D32&lt;&gt;"",E32&lt;&gt;"",F32&lt;&gt;"",G32&lt;&gt;"",H32&lt;&gt;""),"完整","请补充")</x:f>
        <x:v>完整</x:v>
      </x:c>
    </x:row>
    <x:row r="33" ht="70" customHeight="1">
      <x:c r="A33" s="46" t="str">
        <x:v>CASE-010</x:v>
      </x:c>
      <x:c r="B33" s="46" t="str">
        <x:v>局面识别与专业判断</x:v>
      </x:c>
      <x:c r="C33" s="51" t="n">
        <x:v>35</x:v>
      </x:c>
      <x:c r="D33" s="46" t="str">
        <x:v>是否识别两个关键局面、引用相关条件并解释业务后果。</x:v>
      </x:c>
      <x:c r="E33" s="46" t="str">
        <x:v>忽略核心信号，判断与情境或规则冲突。</x:v>
      </x:c>
      <x:c r="F33" s="46" t="str">
        <x:v>能识别主要问题并给出基本理由。</x:v>
      </x:c>
      <x:c r="G33" s="46" t="str">
        <x:v>准确区分边界、风险与优先级，并用于后续决策。</x:v>
      </x:c>
      <x:c r="H33" s="46" t="str">
        <x:v>学生对关键术语、条件、风险和责任的真实表述。</x:v>
      </x:c>
      <x:c r="I33" s="46" t="str">
        <x:v>是</x:v>
      </x:c>
      <x:c r="J33" s="50" t="str">
        <x:f>IF(AND(A33&lt;&gt;"",B33&lt;&gt;"",C33&lt;&gt;"",D33&lt;&gt;"",E33&lt;&gt;"",F33&lt;&gt;"",G33&lt;&gt;"",H33&lt;&gt;""),"完整","请补充")</x:f>
        <x:v>完整</x:v>
      </x:c>
    </x:row>
    <x:row r="34" ht="70" customHeight="1">
      <x:c r="A34" s="46" t="str">
        <x:v>CASE-010</x:v>
      </x:c>
      <x:c r="B34" s="46" t="str">
        <x:v>策略选择与行动可执行性</x:v>
      </x:c>
      <x:c r="C34" s="51" t="n">
        <x:v>40</x:v>
      </x:c>
      <x:c r="D34" s="46" t="str">
        <x:v>是否在适用条件下选择策略，并提出对象、条件、期限或交换回报清楚的行动。</x:v>
      </x:c>
      <x:c r="E34" s="46" t="str">
        <x:v>只有立场或情绪，没有可执行下一步。</x:v>
      </x:c>
      <x:c r="F34" s="46" t="str">
        <x:v>提出基本可行行动，但条件或后果不够完整。</x:v>
      </x:c>
      <x:c r="G34" s="46" t="str">
        <x:v>策略与局面高度匹配，能管理交换、证据或流程并推动对方回应。</x:v>
      </x:c>
      <x:c r="H34" s="46" t="str">
        <x:v>学生提出的请求、方案、条件交换或单证修改。</x:v>
      </x:c>
      <x:c r="I34" s="46" t="str">
        <x:v>是</x:v>
      </x:c>
      <x:c r="J34" s="50" t="str">
        <x:f>IF(AND(A34&lt;&gt;"",B34&lt;&gt;"",C34&lt;&gt;"",D34&lt;&gt;"",E34&lt;&gt;"",F34&lt;&gt;"",G34&lt;&gt;"",H34&lt;&gt;""),"完整","请补充")</x:f>
        <x:v>完整</x:v>
      </x:c>
    </x:row>
    <x:row r="35" ht="70" customHeight="1">
      <x:c r="A35" s="46" t="str">
        <x:v>CASE-010</x:v>
      </x:c>
      <x:c r="B35" s="46" t="str">
        <x:v>商务表达与风险控制</x:v>
      </x:c>
      <x:c r="C35" s="51" t="n">
        <x:v>25</x:v>
      </x:c>
      <x:c r="D35" s="46" t="str">
        <x:v>是否专业、清楚、克制地表达，并保护底牌、证据和合同边界。</x:v>
      </x:c>
      <x:c r="E35" s="46" t="str">
        <x:v>措辞失礼、含糊或作出未经授权的承诺。</x:v>
      </x:c>
      <x:c r="F35" s="46" t="str">
        <x:v>语气基本专业，主要信息完整。</x:v>
      </x:c>
      <x:c r="G35" s="46" t="str">
        <x:v>表达精确且维护关系，主动防范误解、越权和履约风险。</x:v>
      </x:c>
      <x:c r="H35" s="46" t="str">
        <x:v>学生的关键措辞、信息披露和条件限定。</x:v>
      </x:c>
      <x:c r="I35" s="46" t="str">
        <x:v>是</x:v>
      </x:c>
      <x:c r="J35" s="50" t="str">
        <x:f>IF(AND(A35&lt;&gt;"",B35&lt;&gt;"",C35&lt;&gt;"",D35&lt;&gt;"",E35&lt;&gt;"",F35&lt;&gt;"",G35&lt;&gt;"",H35&lt;&gt;""),"完整","请补充")</x:f>
        <x:v>完整</x:v>
      </x:c>
    </x:row>
    <x:row r="36" ht="70" customHeight="1">
      <x:c r="A36" s="46" t="str">
        <x:v>CASE-011</x:v>
      </x:c>
      <x:c r="B36" s="46" t="str">
        <x:v>局面识别与专业判断</x:v>
      </x:c>
      <x:c r="C36" s="51" t="n">
        <x:v>35</x:v>
      </x:c>
      <x:c r="D36" s="46" t="str">
        <x:v>是否识别两个关键局面、引用相关条件并解释业务后果。</x:v>
      </x:c>
      <x:c r="E36" s="46" t="str">
        <x:v>忽略核心信号，判断与情境或规则冲突。</x:v>
      </x:c>
      <x:c r="F36" s="46" t="str">
        <x:v>能识别主要问题并给出基本理由。</x:v>
      </x:c>
      <x:c r="G36" s="46" t="str">
        <x:v>准确区分边界、风险与优先级，并用于后续决策。</x:v>
      </x:c>
      <x:c r="H36" s="46" t="str">
        <x:v>学生对关键术语、条件、风险和责任的真实表述。</x:v>
      </x:c>
      <x:c r="I36" s="46" t="str">
        <x:v>是</x:v>
      </x:c>
      <x:c r="J36" s="50" t="str">
        <x:f>IF(AND(A36&lt;&gt;"",B36&lt;&gt;"",C36&lt;&gt;"",D36&lt;&gt;"",E36&lt;&gt;"",F36&lt;&gt;"",G36&lt;&gt;"",H36&lt;&gt;""),"完整","请补充")</x:f>
        <x:v>完整</x:v>
      </x:c>
    </x:row>
    <x:row r="37" ht="70" customHeight="1">
      <x:c r="A37" s="46" t="str">
        <x:v>CASE-011</x:v>
      </x:c>
      <x:c r="B37" s="46" t="str">
        <x:v>策略选择与行动可执行性</x:v>
      </x:c>
      <x:c r="C37" s="51" t="n">
        <x:v>40</x:v>
      </x:c>
      <x:c r="D37" s="46" t="str">
        <x:v>是否在适用条件下选择策略，并提出对象、条件、期限或交换回报清楚的行动。</x:v>
      </x:c>
      <x:c r="E37" s="46" t="str">
        <x:v>只有立场或情绪，没有可执行下一步。</x:v>
      </x:c>
      <x:c r="F37" s="46" t="str">
        <x:v>提出基本可行行动，但条件或后果不够完整。</x:v>
      </x:c>
      <x:c r="G37" s="46" t="str">
        <x:v>策略与局面高度匹配，能管理交换、证据或流程并推动对方回应。</x:v>
      </x:c>
      <x:c r="H37" s="46" t="str">
        <x:v>学生提出的请求、方案、条件交换或单证修改。</x:v>
      </x:c>
      <x:c r="I37" s="46" t="str">
        <x:v>是</x:v>
      </x:c>
      <x:c r="J37" s="50" t="str">
        <x:f>IF(AND(A37&lt;&gt;"",B37&lt;&gt;"",C37&lt;&gt;"",D37&lt;&gt;"",E37&lt;&gt;"",F37&lt;&gt;"",G37&lt;&gt;"",H37&lt;&gt;""),"完整","请补充")</x:f>
        <x:v>完整</x:v>
      </x:c>
    </x:row>
    <x:row r="38" ht="70" customHeight="1">
      <x:c r="A38" s="46" t="str">
        <x:v>CASE-011</x:v>
      </x:c>
      <x:c r="B38" s="46" t="str">
        <x:v>商务表达与风险控制</x:v>
      </x:c>
      <x:c r="C38" s="51" t="n">
        <x:v>25</x:v>
      </x:c>
      <x:c r="D38" s="46" t="str">
        <x:v>是否专业、清楚、克制地表达，并保护底牌、证据和合同边界。</x:v>
      </x:c>
      <x:c r="E38" s="46" t="str">
        <x:v>措辞失礼、含糊或作出未经授权的承诺。</x:v>
      </x:c>
      <x:c r="F38" s="46" t="str">
        <x:v>语气基本专业，主要信息完整。</x:v>
      </x:c>
      <x:c r="G38" s="46" t="str">
        <x:v>表达精确且维护关系，主动防范误解、越权和履约风险。</x:v>
      </x:c>
      <x:c r="H38" s="46" t="str">
        <x:v>学生的关键措辞、信息披露和条件限定。</x:v>
      </x:c>
      <x:c r="I38" s="46" t="str">
        <x:v>是</x:v>
      </x:c>
      <x:c r="J38" s="50" t="str">
        <x:f>IF(AND(A38&lt;&gt;"",B38&lt;&gt;"",C38&lt;&gt;"",D38&lt;&gt;"",E38&lt;&gt;"",F38&lt;&gt;"",G38&lt;&gt;"",H38&lt;&gt;""),"完整","请补充")</x:f>
        <x:v>完整</x:v>
      </x:c>
    </x:row>
    <x:row r="39" ht="70" customHeight="1">
      <x:c r="A39" s="46" t="str">
        <x:v>CASE-012</x:v>
      </x:c>
      <x:c r="B39" s="46" t="str">
        <x:v>局面识别与专业判断</x:v>
      </x:c>
      <x:c r="C39" s="51" t="n">
        <x:v>35</x:v>
      </x:c>
      <x:c r="D39" s="46" t="str">
        <x:v>是否识别两个关键局面、引用相关条件并解释业务后果。</x:v>
      </x:c>
      <x:c r="E39" s="46" t="str">
        <x:v>忽略核心信号，判断与情境或规则冲突。</x:v>
      </x:c>
      <x:c r="F39" s="46" t="str">
        <x:v>能识别主要问题并给出基本理由。</x:v>
      </x:c>
      <x:c r="G39" s="46" t="str">
        <x:v>准确区分边界、风险与优先级，并用于后续决策。</x:v>
      </x:c>
      <x:c r="H39" s="46" t="str">
        <x:v>学生对关键术语、条件、风险和责任的真实表述。</x:v>
      </x:c>
      <x:c r="I39" s="46" t="str">
        <x:v>是</x:v>
      </x:c>
      <x:c r="J39" s="50" t="str">
        <x:f>IF(AND(A39&lt;&gt;"",B39&lt;&gt;"",C39&lt;&gt;"",D39&lt;&gt;"",E39&lt;&gt;"",F39&lt;&gt;"",G39&lt;&gt;"",H39&lt;&gt;""),"完整","请补充")</x:f>
        <x:v>完整</x:v>
      </x:c>
    </x:row>
    <x:row r="40" ht="70" customHeight="1">
      <x:c r="A40" s="46" t="str">
        <x:v>CASE-012</x:v>
      </x:c>
      <x:c r="B40" s="46" t="str">
        <x:v>策略选择与行动可执行性</x:v>
      </x:c>
      <x:c r="C40" s="51" t="n">
        <x:v>40</x:v>
      </x:c>
      <x:c r="D40" s="46" t="str">
        <x:v>是否在适用条件下选择策略，并提出对象、条件、期限或交换回报清楚的行动。</x:v>
      </x:c>
      <x:c r="E40" s="46" t="str">
        <x:v>只有立场或情绪，没有可执行下一步。</x:v>
      </x:c>
      <x:c r="F40" s="46" t="str">
        <x:v>提出基本可行行动，但条件或后果不够完整。</x:v>
      </x:c>
      <x:c r="G40" s="46" t="str">
        <x:v>策略与局面高度匹配，能管理交换、证据或流程并推动对方回应。</x:v>
      </x:c>
      <x:c r="H40" s="46" t="str">
        <x:v>学生提出的请求、方案、条件交换或单证修改。</x:v>
      </x:c>
      <x:c r="I40" s="46" t="str">
        <x:v>是</x:v>
      </x:c>
      <x:c r="J40" s="50" t="str">
        <x:f>IF(AND(A40&lt;&gt;"",B40&lt;&gt;"",C40&lt;&gt;"",D40&lt;&gt;"",E40&lt;&gt;"",F40&lt;&gt;"",G40&lt;&gt;"",H40&lt;&gt;""),"完整","请补充")</x:f>
        <x:v>完整</x:v>
      </x:c>
    </x:row>
    <x:row r="41" ht="70" customHeight="1">
      <x:c r="A41" s="46" t="str">
        <x:v>CASE-012</x:v>
      </x:c>
      <x:c r="B41" s="46" t="str">
        <x:v>商务表达与风险控制</x:v>
      </x:c>
      <x:c r="C41" s="51" t="n">
        <x:v>25</x:v>
      </x:c>
      <x:c r="D41" s="46" t="str">
        <x:v>是否专业、清楚、克制地表达，并保护底牌、证据和合同边界。</x:v>
      </x:c>
      <x:c r="E41" s="46" t="str">
        <x:v>措辞失礼、含糊或作出未经授权的承诺。</x:v>
      </x:c>
      <x:c r="F41" s="46" t="str">
        <x:v>语气基本专业，主要信息完整。</x:v>
      </x:c>
      <x:c r="G41" s="46" t="str">
        <x:v>表达精确且维护关系，主动防范误解、越权和履约风险。</x:v>
      </x:c>
      <x:c r="H41" s="46" t="str">
        <x:v>学生的关键措辞、信息披露和条件限定。</x:v>
      </x:c>
      <x:c r="I41" s="46" t="str">
        <x:v>是</x:v>
      </x:c>
      <x:c r="J41" s="50" t="str">
        <x:f>IF(AND(A41&lt;&gt;"",B41&lt;&gt;"",C41&lt;&gt;"",D41&lt;&gt;"",E41&lt;&gt;"",F41&lt;&gt;"",G41&lt;&gt;"",H41&lt;&gt;""),"完整","请补充")</x:f>
        <x:v>完整</x:v>
      </x:c>
    </x:row>
    <x:row r="42" ht="70" customHeight="1">
      <x:c r="A42" s="46" t="str">
        <x:v>CASE-013</x:v>
      </x:c>
      <x:c r="B42" s="46" t="str">
        <x:v>局面识别与专业判断</x:v>
      </x:c>
      <x:c r="C42" s="51" t="n">
        <x:v>35</x:v>
      </x:c>
      <x:c r="D42" s="46" t="str">
        <x:v>是否识别两个关键局面、引用相关条件并解释业务后果。</x:v>
      </x:c>
      <x:c r="E42" s="46" t="str">
        <x:v>忽略核心信号，判断与情境或规则冲突。</x:v>
      </x:c>
      <x:c r="F42" s="46" t="str">
        <x:v>能识别主要问题并给出基本理由。</x:v>
      </x:c>
      <x:c r="G42" s="46" t="str">
        <x:v>准确区分边界、风险与优先级，并用于后续决策。</x:v>
      </x:c>
      <x:c r="H42" s="46" t="str">
        <x:v>学生对关键术语、条件、风险和责任的真实表述。</x:v>
      </x:c>
      <x:c r="I42" s="46" t="str">
        <x:v>是</x:v>
      </x:c>
      <x:c r="J42" s="50" t="str">
        <x:f>IF(AND(A42&lt;&gt;"",B42&lt;&gt;"",C42&lt;&gt;"",D42&lt;&gt;"",E42&lt;&gt;"",F42&lt;&gt;"",G42&lt;&gt;"",H42&lt;&gt;""),"完整","请补充")</x:f>
        <x:v>完整</x:v>
      </x:c>
    </x:row>
    <x:row r="43" ht="70" customHeight="1">
      <x:c r="A43" s="46" t="str">
        <x:v>CASE-013</x:v>
      </x:c>
      <x:c r="B43" s="46" t="str">
        <x:v>策略选择与行动可执行性</x:v>
      </x:c>
      <x:c r="C43" s="51" t="n">
        <x:v>40</x:v>
      </x:c>
      <x:c r="D43" s="46" t="str">
        <x:v>是否在适用条件下选择策略，并提出对象、条件、期限或交换回报清楚的行动。</x:v>
      </x:c>
      <x:c r="E43" s="46" t="str">
        <x:v>只有立场或情绪，没有可执行下一步。</x:v>
      </x:c>
      <x:c r="F43" s="46" t="str">
        <x:v>提出基本可行行动，但条件或后果不够完整。</x:v>
      </x:c>
      <x:c r="G43" s="46" t="str">
        <x:v>策略与局面高度匹配，能管理交换、证据或流程并推动对方回应。</x:v>
      </x:c>
      <x:c r="H43" s="46" t="str">
        <x:v>学生提出的请求、方案、条件交换或单证修改。</x:v>
      </x:c>
      <x:c r="I43" s="46" t="str">
        <x:v>是</x:v>
      </x:c>
      <x:c r="J43" s="50" t="str">
        <x:f>IF(AND(A43&lt;&gt;"",B43&lt;&gt;"",C43&lt;&gt;"",D43&lt;&gt;"",E43&lt;&gt;"",F43&lt;&gt;"",G43&lt;&gt;"",H43&lt;&gt;""),"完整","请补充")</x:f>
        <x:v>完整</x:v>
      </x:c>
    </x:row>
    <x:row r="44" ht="70" customHeight="1">
      <x:c r="A44" s="46" t="str">
        <x:v>CASE-013</x:v>
      </x:c>
      <x:c r="B44" s="46" t="str">
        <x:v>商务表达与风险控制</x:v>
      </x:c>
      <x:c r="C44" s="51" t="n">
        <x:v>25</x:v>
      </x:c>
      <x:c r="D44" s="46" t="str">
        <x:v>是否专业、清楚、克制地表达，并保护底牌、证据和合同边界。</x:v>
      </x:c>
      <x:c r="E44" s="46" t="str">
        <x:v>措辞失礼、含糊或作出未经授权的承诺。</x:v>
      </x:c>
      <x:c r="F44" s="46" t="str">
        <x:v>语气基本专业，主要信息完整。</x:v>
      </x:c>
      <x:c r="G44" s="46" t="str">
        <x:v>表达精确且维护关系，主动防范误解、越权和履约风险。</x:v>
      </x:c>
      <x:c r="H44" s="46" t="str">
        <x:v>学生的关键措辞、信息披露和条件限定。</x:v>
      </x:c>
      <x:c r="I44" s="46" t="str">
        <x:v>是</x:v>
      </x:c>
      <x:c r="J44" s="50" t="str">
        <x:f>IF(AND(A44&lt;&gt;"",B44&lt;&gt;"",C44&lt;&gt;"",D44&lt;&gt;"",E44&lt;&gt;"",F44&lt;&gt;"",G44&lt;&gt;"",H44&lt;&gt;""),"完整","请补充")</x:f>
        <x:v>完整</x:v>
      </x:c>
    </x:row>
    <x:row r="45" ht="70" customHeight="1">
      <x:c r="A45" s="46" t="str">
        <x:v>CASE-014</x:v>
      </x:c>
      <x:c r="B45" s="46" t="str">
        <x:v>局面识别与专业判断</x:v>
      </x:c>
      <x:c r="C45" s="51" t="n">
        <x:v>35</x:v>
      </x:c>
      <x:c r="D45" s="46" t="str">
        <x:v>是否识别两个关键局面、引用相关条件并解释业务后果。</x:v>
      </x:c>
      <x:c r="E45" s="46" t="str">
        <x:v>忽略核心信号，判断与情境或规则冲突。</x:v>
      </x:c>
      <x:c r="F45" s="46" t="str">
        <x:v>能识别主要问题并给出基本理由。</x:v>
      </x:c>
      <x:c r="G45" s="46" t="str">
        <x:v>准确区分边界、风险与优先级，并用于后续决策。</x:v>
      </x:c>
      <x:c r="H45" s="46" t="str">
        <x:v>学生对关键术语、条件、风险和责任的真实表述。</x:v>
      </x:c>
      <x:c r="I45" s="46" t="str">
        <x:v>是</x:v>
      </x:c>
      <x:c r="J45" s="50" t="str">
        <x:f>IF(AND(A45&lt;&gt;"",B45&lt;&gt;"",C45&lt;&gt;"",D45&lt;&gt;"",E45&lt;&gt;"",F45&lt;&gt;"",G45&lt;&gt;"",H45&lt;&gt;""),"完整","请补充")</x:f>
        <x:v>完整</x:v>
      </x:c>
    </x:row>
    <x:row r="46" ht="70" customHeight="1">
      <x:c r="A46" s="46" t="str">
        <x:v>CASE-014</x:v>
      </x:c>
      <x:c r="B46" s="46" t="str">
        <x:v>策略选择与行动可执行性</x:v>
      </x:c>
      <x:c r="C46" s="51" t="n">
        <x:v>40</x:v>
      </x:c>
      <x:c r="D46" s="46" t="str">
        <x:v>是否在适用条件下选择策略，并提出对象、条件、期限或交换回报清楚的行动。</x:v>
      </x:c>
      <x:c r="E46" s="46" t="str">
        <x:v>只有立场或情绪，没有可执行下一步。</x:v>
      </x:c>
      <x:c r="F46" s="46" t="str">
        <x:v>提出基本可行行动，但条件或后果不够完整。</x:v>
      </x:c>
      <x:c r="G46" s="46" t="str">
        <x:v>策略与局面高度匹配，能管理交换、证据或流程并推动对方回应。</x:v>
      </x:c>
      <x:c r="H46" s="46" t="str">
        <x:v>学生提出的请求、方案、条件交换或单证修改。</x:v>
      </x:c>
      <x:c r="I46" s="46" t="str">
        <x:v>是</x:v>
      </x:c>
      <x:c r="J46" s="50" t="str">
        <x:f>IF(AND(A46&lt;&gt;"",B46&lt;&gt;"",C46&lt;&gt;"",D46&lt;&gt;"",E46&lt;&gt;"",F46&lt;&gt;"",G46&lt;&gt;"",H46&lt;&gt;""),"完整","请补充")</x:f>
        <x:v>完整</x:v>
      </x:c>
    </x:row>
    <x:row r="47" ht="70" customHeight="1">
      <x:c r="A47" s="46" t="str">
        <x:v>CASE-014</x:v>
      </x:c>
      <x:c r="B47" s="46" t="str">
        <x:v>商务表达与风险控制</x:v>
      </x:c>
      <x:c r="C47" s="51" t="n">
        <x:v>25</x:v>
      </x:c>
      <x:c r="D47" s="46" t="str">
        <x:v>是否专业、清楚、克制地表达，并保护底牌、证据和合同边界。</x:v>
      </x:c>
      <x:c r="E47" s="46" t="str">
        <x:v>措辞失礼、含糊或作出未经授权的承诺。</x:v>
      </x:c>
      <x:c r="F47" s="46" t="str">
        <x:v>语气基本专业，主要信息完整。</x:v>
      </x:c>
      <x:c r="G47" s="46" t="str">
        <x:v>表达精确且维护关系，主动防范误解、越权和履约风险。</x:v>
      </x:c>
      <x:c r="H47" s="46" t="str">
        <x:v>学生的关键措辞、信息披露和条件限定。</x:v>
      </x:c>
      <x:c r="I47" s="46" t="str">
        <x:v>是</x:v>
      </x:c>
      <x:c r="J47" s="50" t="str">
        <x:f>IF(AND(A47&lt;&gt;"",B47&lt;&gt;"",C47&lt;&gt;"",D47&lt;&gt;"",E47&lt;&gt;"",F47&lt;&gt;"",G47&lt;&gt;"",H47&lt;&gt;""),"完整","请补充")</x:f>
        <x:v>完整</x:v>
      </x:c>
    </x:row>
    <x:row r="48" ht="70" customHeight="1">
      <x:c r="A48" s="46" t="str">
        <x:v>CASE-015</x:v>
      </x:c>
      <x:c r="B48" s="46" t="str">
        <x:v>局面识别与专业判断</x:v>
      </x:c>
      <x:c r="C48" s="51" t="n">
        <x:v>35</x:v>
      </x:c>
      <x:c r="D48" s="46" t="str">
        <x:v>是否识别两个关键局面、引用相关条件并解释业务后果。</x:v>
      </x:c>
      <x:c r="E48" s="46" t="str">
        <x:v>忽略核心信号，判断与情境或规则冲突。</x:v>
      </x:c>
      <x:c r="F48" s="46" t="str">
        <x:v>能识别主要问题并给出基本理由。</x:v>
      </x:c>
      <x:c r="G48" s="46" t="str">
        <x:v>准确区分边界、风险与优先级，并用于后续决策。</x:v>
      </x:c>
      <x:c r="H48" s="46" t="str">
        <x:v>学生对关键术语、条件、风险和责任的真实表述。</x:v>
      </x:c>
      <x:c r="I48" s="46" t="str">
        <x:v>是</x:v>
      </x:c>
      <x:c r="J48" s="50" t="str">
        <x:f>IF(AND(A48&lt;&gt;"",B48&lt;&gt;"",C48&lt;&gt;"",D48&lt;&gt;"",E48&lt;&gt;"",F48&lt;&gt;"",G48&lt;&gt;"",H48&lt;&gt;""),"完整","请补充")</x:f>
        <x:v>完整</x:v>
      </x:c>
    </x:row>
    <x:row r="49" ht="70" customHeight="1">
      <x:c r="A49" s="46" t="str">
        <x:v>CASE-015</x:v>
      </x:c>
      <x:c r="B49" s="46" t="str">
        <x:v>策略选择与行动可执行性</x:v>
      </x:c>
      <x:c r="C49" s="51" t="n">
        <x:v>40</x:v>
      </x:c>
      <x:c r="D49" s="46" t="str">
        <x:v>是否在适用条件下选择策略，并提出对象、条件、期限或交换回报清楚的行动。</x:v>
      </x:c>
      <x:c r="E49" s="46" t="str">
        <x:v>只有立场或情绪，没有可执行下一步。</x:v>
      </x:c>
      <x:c r="F49" s="46" t="str">
        <x:v>提出基本可行行动，但条件或后果不够完整。</x:v>
      </x:c>
      <x:c r="G49" s="46" t="str">
        <x:v>策略与局面高度匹配，能管理交换、证据或流程并推动对方回应。</x:v>
      </x:c>
      <x:c r="H49" s="46" t="str">
        <x:v>学生提出的请求、方案、条件交换或单证修改。</x:v>
      </x:c>
      <x:c r="I49" s="46" t="str">
        <x:v>是</x:v>
      </x:c>
      <x:c r="J49" s="50" t="str">
        <x:f>IF(AND(A49&lt;&gt;"",B49&lt;&gt;"",C49&lt;&gt;"",D49&lt;&gt;"",E49&lt;&gt;"",F49&lt;&gt;"",G49&lt;&gt;"",H49&lt;&gt;""),"完整","请补充")</x:f>
        <x:v>完整</x:v>
      </x:c>
    </x:row>
    <x:row r="50" ht="70" customHeight="1">
      <x:c r="A50" s="46" t="str">
        <x:v>CASE-015</x:v>
      </x:c>
      <x:c r="B50" s="46" t="str">
        <x:v>商务表达与风险控制</x:v>
      </x:c>
      <x:c r="C50" s="51" t="n">
        <x:v>25</x:v>
      </x:c>
      <x:c r="D50" s="46" t="str">
        <x:v>是否专业、清楚、克制地表达，并保护底牌、证据和合同边界。</x:v>
      </x:c>
      <x:c r="E50" s="46" t="str">
        <x:v>措辞失礼、含糊或作出未经授权的承诺。</x:v>
      </x:c>
      <x:c r="F50" s="46" t="str">
        <x:v>语气基本专业，主要信息完整。</x:v>
      </x:c>
      <x:c r="G50" s="46" t="str">
        <x:v>表达精确且维护关系，主动防范误解、越权和履约风险。</x:v>
      </x:c>
      <x:c r="H50" s="46" t="str">
        <x:v>学生的关键措辞、信息披露和条件限定。</x:v>
      </x:c>
      <x:c r="I50" s="46" t="str">
        <x:v>是</x:v>
      </x:c>
      <x:c r="J50" s="50" t="str">
        <x:f>IF(AND(A50&lt;&gt;"",B50&lt;&gt;"",C50&lt;&gt;"",D50&lt;&gt;"",E50&lt;&gt;"",F50&lt;&gt;"",G50&lt;&gt;"",H50&lt;&gt;""),"完整","请补充")</x:f>
        <x:v>完整</x:v>
      </x:c>
    </x:row>
    <x:row r="51" ht="70" customHeight="1">
      <x:c r="A51" s="46" t="str">
        <x:v>CASE-016</x:v>
      </x:c>
      <x:c r="B51" s="46" t="str">
        <x:v>局面识别与专业判断</x:v>
      </x:c>
      <x:c r="C51" s="51" t="n">
        <x:v>35</x:v>
      </x:c>
      <x:c r="D51" s="46" t="str">
        <x:v>是否识别两个关键局面、引用相关条件并解释业务后果。</x:v>
      </x:c>
      <x:c r="E51" s="46" t="str">
        <x:v>忽略核心信号，判断与情境或规则冲突。</x:v>
      </x:c>
      <x:c r="F51" s="46" t="str">
        <x:v>能识别主要问题并给出基本理由。</x:v>
      </x:c>
      <x:c r="G51" s="46" t="str">
        <x:v>准确区分边界、风险与优先级，并用于后续决策。</x:v>
      </x:c>
      <x:c r="H51" s="46" t="str">
        <x:v>学生对关键术语、条件、风险和责任的真实表述。</x:v>
      </x:c>
      <x:c r="I51" s="46" t="str">
        <x:v>是</x:v>
      </x:c>
      <x:c r="J51" s="50" t="str">
        <x:f>IF(AND(A51&lt;&gt;"",B51&lt;&gt;"",C51&lt;&gt;"",D51&lt;&gt;"",E51&lt;&gt;"",F51&lt;&gt;"",G51&lt;&gt;"",H51&lt;&gt;""),"完整","请补充")</x:f>
        <x:v>完整</x:v>
      </x:c>
    </x:row>
    <x:row r="52" ht="70" customHeight="1">
      <x:c r="A52" s="46" t="str">
        <x:v>CASE-016</x:v>
      </x:c>
      <x:c r="B52" s="46" t="str">
        <x:v>策略选择与行动可执行性</x:v>
      </x:c>
      <x:c r="C52" s="51" t="n">
        <x:v>40</x:v>
      </x:c>
      <x:c r="D52" s="46" t="str">
        <x:v>是否在适用条件下选择策略，并提出对象、条件、期限或交换回报清楚的行动。</x:v>
      </x:c>
      <x:c r="E52" s="46" t="str">
        <x:v>只有立场或情绪，没有可执行下一步。</x:v>
      </x:c>
      <x:c r="F52" s="46" t="str">
        <x:v>提出基本可行行动，但条件或后果不够完整。</x:v>
      </x:c>
      <x:c r="G52" s="46" t="str">
        <x:v>策略与局面高度匹配，能管理交换、证据或流程并推动对方回应。</x:v>
      </x:c>
      <x:c r="H52" s="46" t="str">
        <x:v>学生提出的请求、方案、条件交换或单证修改。</x:v>
      </x:c>
      <x:c r="I52" s="46" t="str">
        <x:v>是</x:v>
      </x:c>
      <x:c r="J52" s="50" t="str">
        <x:f>IF(AND(A52&lt;&gt;"",B52&lt;&gt;"",C52&lt;&gt;"",D52&lt;&gt;"",E52&lt;&gt;"",F52&lt;&gt;"",G52&lt;&gt;"",H52&lt;&gt;""),"完整","请补充")</x:f>
        <x:v>完整</x:v>
      </x:c>
    </x:row>
    <x:row r="53" ht="70" customHeight="1">
      <x:c r="A53" s="46" t="str">
        <x:v>CASE-016</x:v>
      </x:c>
      <x:c r="B53" s="46" t="str">
        <x:v>商务表达与风险控制</x:v>
      </x:c>
      <x:c r="C53" s="51" t="n">
        <x:v>25</x:v>
      </x:c>
      <x:c r="D53" s="46" t="str">
        <x:v>是否专业、清楚、克制地表达，并保护底牌、证据和合同边界。</x:v>
      </x:c>
      <x:c r="E53" s="46" t="str">
        <x:v>措辞失礼、含糊或作出未经授权的承诺。</x:v>
      </x:c>
      <x:c r="F53" s="46" t="str">
        <x:v>语气基本专业，主要信息完整。</x:v>
      </x:c>
      <x:c r="G53" s="46" t="str">
        <x:v>表达精确且维护关系，主动防范误解、越权和履约风险。</x:v>
      </x:c>
      <x:c r="H53" s="46" t="str">
        <x:v>学生的关键措辞、信息披露和条件限定。</x:v>
      </x:c>
      <x:c r="I53" s="46" t="str">
        <x:v>是</x:v>
      </x:c>
      <x:c r="J53" s="50" t="str">
        <x:f>IF(AND(A53&lt;&gt;"",B53&lt;&gt;"",C53&lt;&gt;"",D53&lt;&gt;"",E53&lt;&gt;"",F53&lt;&gt;"",G53&lt;&gt;"",H53&lt;&gt;""),"完整","请补充")</x:f>
        <x:v>完整</x:v>
      </x:c>
    </x:row>
    <x:row r="54" ht="70" customHeight="1">
      <x:c r="A54" s="46" t="str">
        <x:v>CASE-017</x:v>
      </x:c>
      <x:c r="B54" s="46" t="str">
        <x:v>局面识别与专业判断</x:v>
      </x:c>
      <x:c r="C54" s="51" t="n">
        <x:v>35</x:v>
      </x:c>
      <x:c r="D54" s="46" t="str">
        <x:v>是否识别两个关键局面、引用相关条件并解释业务后果。</x:v>
      </x:c>
      <x:c r="E54" s="46" t="str">
        <x:v>忽略核心信号，判断与情境或规则冲突。</x:v>
      </x:c>
      <x:c r="F54" s="46" t="str">
        <x:v>能识别主要问题并给出基本理由。</x:v>
      </x:c>
      <x:c r="G54" s="46" t="str">
        <x:v>准确区分边界、风险与优先级，并用于后续决策。</x:v>
      </x:c>
      <x:c r="H54" s="46" t="str">
        <x:v>学生对关键术语、条件、风险和责任的真实表述。</x:v>
      </x:c>
      <x:c r="I54" s="46" t="str">
        <x:v>是</x:v>
      </x:c>
      <x:c r="J54" s="50" t="str">
        <x:f>IF(AND(A54&lt;&gt;"",B54&lt;&gt;"",C54&lt;&gt;"",D54&lt;&gt;"",E54&lt;&gt;"",F54&lt;&gt;"",G54&lt;&gt;"",H54&lt;&gt;""),"完整","请补充")</x:f>
        <x:v>完整</x:v>
      </x:c>
    </x:row>
    <x:row r="55" ht="70" customHeight="1">
      <x:c r="A55" s="46" t="str">
        <x:v>CASE-017</x:v>
      </x:c>
      <x:c r="B55" s="46" t="str">
        <x:v>策略选择与行动可执行性</x:v>
      </x:c>
      <x:c r="C55" s="51" t="n">
        <x:v>40</x:v>
      </x:c>
      <x:c r="D55" s="46" t="str">
        <x:v>是否在适用条件下选择策略，并提出对象、条件、期限或交换回报清楚的行动。</x:v>
      </x:c>
      <x:c r="E55" s="46" t="str">
        <x:v>只有立场或情绪，没有可执行下一步。</x:v>
      </x:c>
      <x:c r="F55" s="46" t="str">
        <x:v>提出基本可行行动，但条件或后果不够完整。</x:v>
      </x:c>
      <x:c r="G55" s="46" t="str">
        <x:v>策略与局面高度匹配，能管理交换、证据或流程并推动对方回应。</x:v>
      </x:c>
      <x:c r="H55" s="46" t="str">
        <x:v>学生提出的请求、方案、条件交换或单证修改。</x:v>
      </x:c>
      <x:c r="I55" s="46" t="str">
        <x:v>是</x:v>
      </x:c>
      <x:c r="J55" s="50" t="str">
        <x:f>IF(AND(A55&lt;&gt;"",B55&lt;&gt;"",C55&lt;&gt;"",D55&lt;&gt;"",E55&lt;&gt;"",F55&lt;&gt;"",G55&lt;&gt;"",H55&lt;&gt;""),"完整","请补充")</x:f>
        <x:v>完整</x:v>
      </x:c>
    </x:row>
    <x:row r="56" ht="70" customHeight="1">
      <x:c r="A56" s="46" t="str">
        <x:v>CASE-017</x:v>
      </x:c>
      <x:c r="B56" s="46" t="str">
        <x:v>商务表达与风险控制</x:v>
      </x:c>
      <x:c r="C56" s="51" t="n">
        <x:v>25</x:v>
      </x:c>
      <x:c r="D56" s="46" t="str">
        <x:v>是否专业、清楚、克制地表达，并保护底牌、证据和合同边界。</x:v>
      </x:c>
      <x:c r="E56" s="46" t="str">
        <x:v>措辞失礼、含糊或作出未经授权的承诺。</x:v>
      </x:c>
      <x:c r="F56" s="46" t="str">
        <x:v>语气基本专业，主要信息完整。</x:v>
      </x:c>
      <x:c r="G56" s="46" t="str">
        <x:v>表达精确且维护关系，主动防范误解、越权和履约风险。</x:v>
      </x:c>
      <x:c r="H56" s="46" t="str">
        <x:v>学生的关键措辞、信息披露和条件限定。</x:v>
      </x:c>
      <x:c r="I56" s="46" t="str">
        <x:v>是</x:v>
      </x:c>
      <x:c r="J56" s="50" t="str">
        <x:f>IF(AND(A56&lt;&gt;"",B56&lt;&gt;"",C56&lt;&gt;"",D56&lt;&gt;"",E56&lt;&gt;"",F56&lt;&gt;"",G56&lt;&gt;"",H56&lt;&gt;""),"完整","请补充")</x:f>
        <x:v>完整</x:v>
      </x:c>
    </x:row>
    <x:row r="57" ht="70" customHeight="1">
      <x:c r="A57" s="46" t="str">
        <x:v>CASE-018</x:v>
      </x:c>
      <x:c r="B57" s="46" t="str">
        <x:v>局面识别与专业判断</x:v>
      </x:c>
      <x:c r="C57" s="51" t="n">
        <x:v>35</x:v>
      </x:c>
      <x:c r="D57" s="46" t="str">
        <x:v>是否识别两个关键局面、引用相关条件并解释业务后果。</x:v>
      </x:c>
      <x:c r="E57" s="46" t="str">
        <x:v>忽略核心信号，判断与情境或规则冲突。</x:v>
      </x:c>
      <x:c r="F57" s="46" t="str">
        <x:v>能识别主要问题并给出基本理由。</x:v>
      </x:c>
      <x:c r="G57" s="46" t="str">
        <x:v>准确区分边界、风险与优先级，并用于后续决策。</x:v>
      </x:c>
      <x:c r="H57" s="46" t="str">
        <x:v>学生对关键术语、条件、风险和责任的真实表述。</x:v>
      </x:c>
      <x:c r="I57" s="46" t="str">
        <x:v>是</x:v>
      </x:c>
      <x:c r="J57" s="50" t="str">
        <x:f>IF(AND(A57&lt;&gt;"",B57&lt;&gt;"",C57&lt;&gt;"",D57&lt;&gt;"",E57&lt;&gt;"",F57&lt;&gt;"",G57&lt;&gt;"",H57&lt;&gt;""),"完整","请补充")</x:f>
        <x:v>完整</x:v>
      </x:c>
    </x:row>
    <x:row r="58" ht="70" customHeight="1">
      <x:c r="A58" s="46" t="str">
        <x:v>CASE-018</x:v>
      </x:c>
      <x:c r="B58" s="46" t="str">
        <x:v>策略选择与行动可执行性</x:v>
      </x:c>
      <x:c r="C58" s="51" t="n">
        <x:v>40</x:v>
      </x:c>
      <x:c r="D58" s="46" t="str">
        <x:v>是否在适用条件下选择策略，并提出对象、条件、期限或交换回报清楚的行动。</x:v>
      </x:c>
      <x:c r="E58" s="46" t="str">
        <x:v>只有立场或情绪，没有可执行下一步。</x:v>
      </x:c>
      <x:c r="F58" s="46" t="str">
        <x:v>提出基本可行行动，但条件或后果不够完整。</x:v>
      </x:c>
      <x:c r="G58" s="46" t="str">
        <x:v>策略与局面高度匹配，能管理交换、证据或流程并推动对方回应。</x:v>
      </x:c>
      <x:c r="H58" s="46" t="str">
        <x:v>学生提出的请求、方案、条件交换或单证修改。</x:v>
      </x:c>
      <x:c r="I58" s="46" t="str">
        <x:v>是</x:v>
      </x:c>
      <x:c r="J58" s="50" t="str">
        <x:f>IF(AND(A58&lt;&gt;"",B58&lt;&gt;"",C58&lt;&gt;"",D58&lt;&gt;"",E58&lt;&gt;"",F58&lt;&gt;"",G58&lt;&gt;"",H58&lt;&gt;""),"完整","请补充")</x:f>
        <x:v>完整</x:v>
      </x:c>
    </x:row>
    <x:row r="59" ht="70" customHeight="1">
      <x:c r="A59" s="46" t="str">
        <x:v>CASE-018</x:v>
      </x:c>
      <x:c r="B59" s="46" t="str">
        <x:v>商务表达与风险控制</x:v>
      </x:c>
      <x:c r="C59" s="51" t="n">
        <x:v>25</x:v>
      </x:c>
      <x:c r="D59" s="46" t="str">
        <x:v>是否专业、清楚、克制地表达，并保护底牌、证据和合同边界。</x:v>
      </x:c>
      <x:c r="E59" s="46" t="str">
        <x:v>措辞失礼、含糊或作出未经授权的承诺。</x:v>
      </x:c>
      <x:c r="F59" s="46" t="str">
        <x:v>语气基本专业，主要信息完整。</x:v>
      </x:c>
      <x:c r="G59" s="46" t="str">
        <x:v>表达精确且维护关系，主动防范误解、越权和履约风险。</x:v>
      </x:c>
      <x:c r="H59" s="46" t="str">
        <x:v>学生的关键措辞、信息披露和条件限定。</x:v>
      </x:c>
      <x:c r="I59" s="46" t="str">
        <x:v>是</x:v>
      </x:c>
      <x:c r="J59" s="50" t="str">
        <x:f>IF(AND(A59&lt;&gt;"",B59&lt;&gt;"",C59&lt;&gt;"",D59&lt;&gt;"",E59&lt;&gt;"",F59&lt;&gt;"",G59&lt;&gt;"",H59&lt;&gt;""),"完整","请补充")</x:f>
        <x:v>完整</x:v>
      </x:c>
    </x:row>
    <x:row r="60" ht="70" customHeight="1">
      <x:c r="A60" s="46" t="str">
        <x:v>CASE-019</x:v>
      </x:c>
      <x:c r="B60" s="46" t="str">
        <x:v>局面识别与专业判断</x:v>
      </x:c>
      <x:c r="C60" s="51" t="n">
        <x:v>35</x:v>
      </x:c>
      <x:c r="D60" s="46" t="str">
        <x:v>是否识别两个关键局面、引用相关条件并解释业务后果。</x:v>
      </x:c>
      <x:c r="E60" s="46" t="str">
        <x:v>忽略核心信号，判断与情境或规则冲突。</x:v>
      </x:c>
      <x:c r="F60" s="46" t="str">
        <x:v>能识别主要问题并给出基本理由。</x:v>
      </x:c>
      <x:c r="G60" s="46" t="str">
        <x:v>准确区分边界、风险与优先级，并用于后续决策。</x:v>
      </x:c>
      <x:c r="H60" s="46" t="str">
        <x:v>学生对关键术语、条件、风险和责任的真实表述。</x:v>
      </x:c>
      <x:c r="I60" s="46" t="str">
        <x:v>是</x:v>
      </x:c>
      <x:c r="J60" s="50" t="str">
        <x:f>IF(AND(A60&lt;&gt;"",B60&lt;&gt;"",C60&lt;&gt;"",D60&lt;&gt;"",E60&lt;&gt;"",F60&lt;&gt;"",G60&lt;&gt;"",H60&lt;&gt;""),"完整","请补充")</x:f>
        <x:v>完整</x:v>
      </x:c>
    </x:row>
    <x:row r="61" ht="70" customHeight="1">
      <x:c r="A61" s="46" t="str">
        <x:v>CASE-019</x:v>
      </x:c>
      <x:c r="B61" s="46" t="str">
        <x:v>策略选择与行动可执行性</x:v>
      </x:c>
      <x:c r="C61" s="51" t="n">
        <x:v>40</x:v>
      </x:c>
      <x:c r="D61" s="46" t="str">
        <x:v>是否在适用条件下选择策略，并提出对象、条件、期限或交换回报清楚的行动。</x:v>
      </x:c>
      <x:c r="E61" s="46" t="str">
        <x:v>只有立场或情绪，没有可执行下一步。</x:v>
      </x:c>
      <x:c r="F61" s="46" t="str">
        <x:v>提出基本可行行动，但条件或后果不够完整。</x:v>
      </x:c>
      <x:c r="G61" s="46" t="str">
        <x:v>策略与局面高度匹配，能管理交换、证据或流程并推动对方回应。</x:v>
      </x:c>
      <x:c r="H61" s="46" t="str">
        <x:v>学生提出的请求、方案、条件交换或单证修改。</x:v>
      </x:c>
      <x:c r="I61" s="46" t="str">
        <x:v>是</x:v>
      </x:c>
      <x:c r="J61" s="50" t="str">
        <x:f>IF(AND(A61&lt;&gt;"",B61&lt;&gt;"",C61&lt;&gt;"",D61&lt;&gt;"",E61&lt;&gt;"",F61&lt;&gt;"",G61&lt;&gt;"",H61&lt;&gt;""),"完整","请补充")</x:f>
        <x:v>完整</x:v>
      </x:c>
    </x:row>
    <x:row r="62" ht="70" customHeight="1">
      <x:c r="A62" s="46" t="str">
        <x:v>CASE-019</x:v>
      </x:c>
      <x:c r="B62" s="46" t="str">
        <x:v>商务表达与风险控制</x:v>
      </x:c>
      <x:c r="C62" s="51" t="n">
        <x:v>25</x:v>
      </x:c>
      <x:c r="D62" s="46" t="str">
        <x:v>是否专业、清楚、克制地表达，并保护底牌、证据和合同边界。</x:v>
      </x:c>
      <x:c r="E62" s="46" t="str">
        <x:v>措辞失礼、含糊或作出未经授权的承诺。</x:v>
      </x:c>
      <x:c r="F62" s="46" t="str">
        <x:v>语气基本专业，主要信息完整。</x:v>
      </x:c>
      <x:c r="G62" s="46" t="str">
        <x:v>表达精确且维护关系，主动防范误解、越权和履约风险。</x:v>
      </x:c>
      <x:c r="H62" s="46" t="str">
        <x:v>学生的关键措辞、信息披露和条件限定。</x:v>
      </x:c>
      <x:c r="I62" s="46" t="str">
        <x:v>是</x:v>
      </x:c>
      <x:c r="J62" s="50" t="str">
        <x:f>IF(AND(A62&lt;&gt;"",B62&lt;&gt;"",C62&lt;&gt;"",D62&lt;&gt;"",E62&lt;&gt;"",F62&lt;&gt;"",G62&lt;&gt;"",H62&lt;&gt;""),"完整","请补充")</x:f>
        <x:v>完整</x:v>
      </x:c>
    </x:row>
    <x:row r="63" ht="70" customHeight="1">
      <x:c r="A63" s="46" t="str">
        <x:v>CASE-020</x:v>
      </x:c>
      <x:c r="B63" s="46" t="str">
        <x:v>局面识别与专业判断</x:v>
      </x:c>
      <x:c r="C63" s="51" t="n">
        <x:v>35</x:v>
      </x:c>
      <x:c r="D63" s="46" t="str">
        <x:v>是否识别两个关键局面、引用相关条件并解释业务后果。</x:v>
      </x:c>
      <x:c r="E63" s="46" t="str">
        <x:v>忽略核心信号，判断与情境或规则冲突。</x:v>
      </x:c>
      <x:c r="F63" s="46" t="str">
        <x:v>能识别主要问题并给出基本理由。</x:v>
      </x:c>
      <x:c r="G63" s="46" t="str">
        <x:v>准确区分边界、风险与优先级，并用于后续决策。</x:v>
      </x:c>
      <x:c r="H63" s="46" t="str">
        <x:v>学生对关键术语、条件、风险和责任的真实表述。</x:v>
      </x:c>
      <x:c r="I63" s="46" t="str">
        <x:v>是</x:v>
      </x:c>
      <x:c r="J63" s="50" t="str">
        <x:f>IF(AND(A63&lt;&gt;"",B63&lt;&gt;"",C63&lt;&gt;"",D63&lt;&gt;"",E63&lt;&gt;"",F63&lt;&gt;"",G63&lt;&gt;"",H63&lt;&gt;""),"完整","请补充")</x:f>
        <x:v>完整</x:v>
      </x:c>
    </x:row>
    <x:row r="64" ht="70" customHeight="1">
      <x:c r="A64" s="46" t="str">
        <x:v>CASE-020</x:v>
      </x:c>
      <x:c r="B64" s="46" t="str">
        <x:v>策略选择与行动可执行性</x:v>
      </x:c>
      <x:c r="C64" s="51" t="n">
        <x:v>40</x:v>
      </x:c>
      <x:c r="D64" s="46" t="str">
        <x:v>是否在适用条件下选择策略，并提出对象、条件、期限或交换回报清楚的行动。</x:v>
      </x:c>
      <x:c r="E64" s="46" t="str">
        <x:v>只有立场或情绪，没有可执行下一步。</x:v>
      </x:c>
      <x:c r="F64" s="46" t="str">
        <x:v>提出基本可行行动，但条件或后果不够完整。</x:v>
      </x:c>
      <x:c r="G64" s="46" t="str">
        <x:v>策略与局面高度匹配，能管理交换、证据或流程并推动对方回应。</x:v>
      </x:c>
      <x:c r="H64" s="46" t="str">
        <x:v>学生提出的请求、方案、条件交换或单证修改。</x:v>
      </x:c>
      <x:c r="I64" s="46" t="str">
        <x:v>是</x:v>
      </x:c>
      <x:c r="J64" s="50" t="str">
        <x:f>IF(AND(A64&lt;&gt;"",B64&lt;&gt;"",C64&lt;&gt;"",D64&lt;&gt;"",E64&lt;&gt;"",F64&lt;&gt;"",G64&lt;&gt;"",H64&lt;&gt;""),"完整","请补充")</x:f>
        <x:v>完整</x:v>
      </x:c>
    </x:row>
    <x:row r="65" ht="70" customHeight="1">
      <x:c r="A65" s="46" t="str">
        <x:v>CASE-020</x:v>
      </x:c>
      <x:c r="B65" s="46" t="str">
        <x:v>商务表达与风险控制</x:v>
      </x:c>
      <x:c r="C65" s="51" t="n">
        <x:v>25</x:v>
      </x:c>
      <x:c r="D65" s="46" t="str">
        <x:v>是否专业、清楚、克制地表达，并保护底牌、证据和合同边界。</x:v>
      </x:c>
      <x:c r="E65" s="46" t="str">
        <x:v>措辞失礼、含糊或作出未经授权的承诺。</x:v>
      </x:c>
      <x:c r="F65" s="46" t="str">
        <x:v>语气基本专业，主要信息完整。</x:v>
      </x:c>
      <x:c r="G65" s="46" t="str">
        <x:v>表达精确且维护关系，主动防范误解、越权和履约风险。</x:v>
      </x:c>
      <x:c r="H65" s="46" t="str">
        <x:v>学生的关键措辞、信息披露和条件限定。</x:v>
      </x:c>
      <x:c r="I65" s="46" t="str">
        <x:v>是</x:v>
      </x:c>
      <x:c r="J65" s="50" t="str">
        <x:f>IF(AND(A65&lt;&gt;"",B65&lt;&gt;"",C65&lt;&gt;"",D65&lt;&gt;"",E65&lt;&gt;"",F65&lt;&gt;"",G65&lt;&gt;"",H65&lt;&gt;""),"完整","请补充")</x:f>
        <x:v>完整</x:v>
      </x:c>
    </x:row>
  </x:sheetData>
  <x:mergeCells>
    <x:mergeCell ref="A1:J1"/>
    <x:mergeCell ref="A2:J2"/>
    <x:mergeCell ref="A3:J3"/>
  </x:mergeCells>
  <x:conditionalFormatting sqref="J6:J65">
    <x:cfRule type="containsText" dxfId="10" priority="1" operator="containsText" text="请补充"/>
    <x:cfRule type="containsText" dxfId="11" priority="2" operator="containsText" text="完整"/>
  </x:conditionalFormatting>
  <x:dataValidations count="1">
    <x:dataValidation type="list" sqref="I6:I65">
      <x:formula1>"是,否"</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4" hidden="0" customWidth="1"/>
    <x:col min="3" max="3" width="18" hidden="0" customWidth="1"/>
    <x:col min="4" max="4" width="46" hidden="0" customWidth="1"/>
    <x:col min="5" max="5" width="46" hidden="0" customWidth="1"/>
    <x:col min="6" max="6" width="14" hidden="0" customWidth="1"/>
    <x:col min="7" max="7" width="42" hidden="0" customWidth="1"/>
    <x:col min="8" max="8" width="36" hidden="0" customWidth="1"/>
    <x:col min="9" max="9" width="14" hidden="0" customWidth="1"/>
  </x:cols>
  <x:sheetData>
    <x:row r="1" ht="34" customHeight="1">
      <x:c r="A1" s="34" t="str">
        <x:v>07｜结果与复盘</x:v>
      </x:c>
      <x:c r="B1" s="34"/>
      <x:c r="C1" s="34"/>
      <x:c r="D1" s="34"/>
      <x:c r="E1" s="34"/>
      <x:c r="F1" s="34"/>
      <x:c r="G1" s="34"/>
      <x:c r="H1" s="34"/>
      <x:c r="I1" s="34"/>
    </x:row>
    <x:row r="2" ht="30" customHeight="1">
      <x:c r="A2" s="36" t="str">
        <x:v>描述不同策略选择可能形成的条件化结果，并设计可迁移的复盘问题。</x:v>
      </x:c>
      <x:c r="B2" s="36"/>
      <x:c r="C2" s="36"/>
      <x:c r="D2" s="36"/>
      <x:c r="E2" s="36"/>
      <x:c r="F2" s="36"/>
      <x:c r="G2" s="36"/>
      <x:c r="H2" s="36"/>
      <x:c r="I2" s="36"/>
    </x:row>
    <x:row r="3" ht="28" customHeight="1">
      <x:c r="A3" s="39" t="str">
        <x:v>每个案例包含一个理想商务结果和一个风险控制结果。</x:v>
      </x:c>
      <x:c r="B3" s="39"/>
      <x:c r="C3" s="39"/>
      <x:c r="D3" s="39"/>
      <x:c r="E3" s="39"/>
      <x:c r="F3" s="39"/>
      <x:c r="G3" s="39"/>
      <x:c r="H3" s="39"/>
      <x:c r="I3" s="39"/>
    </x:row>
    <x:row r="4">
      <x:c r="A4" s="32"/>
      <x:c r="B4" s="32"/>
      <x:c r="C4" s="32"/>
      <x:c r="D4" s="32"/>
      <x:c r="E4" s="32"/>
      <x:c r="F4" s="32"/>
      <x:c r="G4" s="32"/>
      <x:c r="H4" s="32"/>
      <x:c r="I4" s="32"/>
    </x:row>
    <x:row r="5" ht="42" customHeight="1">
      <x:c r="A5" s="43" t="str">
        <x:v>案例编号（必填）</x:v>
      </x:c>
      <x:c r="B5" s="43" t="str">
        <x:v>结果编号（必填）</x:v>
      </x:c>
      <x:c r="C5" s="43" t="str">
        <x:v>结果类别</x:v>
      </x:c>
      <x:c r="D5" s="43" t="str">
        <x:v>可能出现的结果（必填）</x:v>
      </x:c>
      <x:c r="E5" s="43" t="str">
        <x:v>在什么情况下出现（必填）</x:v>
      </x:c>
      <x:c r="F5" s="43" t="str">
        <x:v>理想结果？</x:v>
      </x:c>
      <x:c r="G5" s="43" t="str">
        <x:v>教师复盘问题（必填）</x:v>
      </x:c>
      <x:c r="H5" s="43" t="str">
        <x:v>建议后续练习</x:v>
      </x:c>
      <x:c r="I5" s="43" t="str">
        <x:v>填写检查</x:v>
      </x:c>
    </x:row>
    <x:row r="6" ht="70" customHeight="1">
      <x:c r="A6" s="46" t="str">
        <x:v>CASE-001</x:v>
      </x:c>
      <x:c r="B6" s="46" t="str">
        <x:v>O1</x:v>
      </x:c>
      <x:c r="C6" s="46" t="str">
        <x:v>商务结果</x:v>
      </x:c>
      <x:c r="D6" s="46" t="str">
        <x:v>学生能以可信、礼貌且行动明确的首函开启后续业务沟通。</x:v>
      </x:c>
      <x:c r="E6" s="46" t="str">
        <x:v>学生识别两个局面，并在适用条件下执行至少一条核心策略，AI 对手作出可验证回应。</x:v>
      </x:c>
      <x:c r="F6" s="46" t="str">
        <x:v>是</x:v>
      </x:c>
      <x:c r="G6" s="46" t="str">
        <x:v>哪一个判断或行动最直接推动了本轮结果？如何迁移到下一关？</x:v>
      </x:c>
      <x:c r="H6" s="46" t="str">
        <x:v>按课程路线进入下一小节。</x:v>
      </x:c>
      <x:c r="I6" s="50" t="str">
        <x:f>IF(AND(A6&lt;&gt;"",B6&lt;&gt;"",D6&lt;&gt;"",E6&lt;&gt;"",G6&lt;&gt;""),"完整","请补充")</x:f>
        <x:v>完整</x:v>
      </x:c>
    </x:row>
    <x:row r="7" ht="70" customHeight="1">
      <x:c r="A7" s="46" t="str">
        <x:v>CASE-001</x:v>
      </x:c>
      <x:c r="B7" s="46" t="str">
        <x:v>O2</x:v>
      </x:c>
      <x:c r="C7" s="46" t="str">
        <x:v>风险控制</x:v>
      </x:c>
      <x:c r="D7" s="46" t="str">
        <x:v>关键风险未被控制：披露过多底牌或夸大需求，损害后续谈判可信度。</x:v>
      </x:c>
      <x:c r="E7" s="46" t="str">
        <x:v>学生忽略关键条件，或使用了表中“不建议的做法”，且在脚手架后仍未修正。</x:v>
      </x:c>
      <x:c r="F7" s="46" t="str">
        <x:v>否</x:v>
      </x:c>
      <x:c r="G7" s="46" t="str">
        <x:v>若只能重做一个决策，你会先补充哪项证据、条件或行动？</x:v>
      </x:c>
      <x:c r="H7" s="46" t="str">
        <x:v>重练“初次接触并索取目录”并仅使用一级提示。</x:v>
      </x:c>
      <x:c r="I7" s="50" t="str">
        <x:f>IF(AND(A7&lt;&gt;"",B7&lt;&gt;"",D7&lt;&gt;"",E7&lt;&gt;"",G7&lt;&gt;""),"完整","请补充")</x:f>
        <x:v>完整</x:v>
      </x:c>
    </x:row>
    <x:row r="8" ht="70" customHeight="1">
      <x:c r="A8" s="46" t="str">
        <x:v>CASE-002</x:v>
      </x:c>
      <x:c r="B8" s="46" t="str">
        <x:v>O1</x:v>
      </x:c>
      <x:c r="C8" s="46" t="str">
        <x:v>商务结果</x:v>
      </x:c>
      <x:c r="D8" s="46" t="str">
        <x:v>学生能提出要素齐全、保留议价空间且足以推动正式报盘的询盘。</x:v>
      </x:c>
      <x:c r="E8" s="46" t="str">
        <x:v>学生识别两个局面，并在适用条件下执行至少一条核心策略，AI 对手作出可验证回应。</x:v>
      </x:c>
      <x:c r="F8" s="46" t="str">
        <x:v>是</x:v>
      </x:c>
      <x:c r="G8" s="46" t="str">
        <x:v>哪一个判断或行动最直接推动了本轮结果？如何迁移到下一关？</x:v>
      </x:c>
      <x:c r="H8" s="46" t="str">
        <x:v>按课程路线进入下一小节。</x:v>
      </x:c>
      <x:c r="I8" s="50" t="str">
        <x:f>IF(AND(A8&lt;&gt;"",B8&lt;&gt;"",D8&lt;&gt;"",E8&lt;&gt;"",G8&lt;&gt;""),"完整","请补充")</x:f>
        <x:v>完整</x:v>
      </x:c>
    </x:row>
    <x:row r="9" ht="70" customHeight="1">
      <x:c r="A9" s="46" t="str">
        <x:v>CASE-002</x:v>
      </x:c>
      <x:c r="B9" s="46" t="str">
        <x:v>O2</x:v>
      </x:c>
      <x:c r="C9" s="46" t="str">
        <x:v>风险控制</x:v>
      </x:c>
      <x:c r="D9" s="46" t="str">
        <x:v>关键风险未被控制：过早暴露底牌导致卖方贴近预算定价。</x:v>
      </x:c>
      <x:c r="E9" s="46" t="str">
        <x:v>学生忽略关键条件，或使用了表中“不建议的做法”，且在脚手架后仍未修正。</x:v>
      </x:c>
      <x:c r="F9" s="46" t="str">
        <x:v>否</x:v>
      </x:c>
      <x:c r="G9" s="46" t="str">
        <x:v>若只能重做一个决策，你会先补充哪项证据、条件或行动？</x:v>
      </x:c>
      <x:c r="H9" s="46" t="str">
        <x:v>重练“发出要素完整的具体询盘”并仅使用一级提示。</x:v>
      </x:c>
      <x:c r="I9" s="50" t="str">
        <x:f>IF(AND(A9&lt;&gt;"",B9&lt;&gt;"",D9&lt;&gt;"",E9&lt;&gt;"",G9&lt;&gt;""),"完整","请补充")</x:f>
        <x:v>完整</x:v>
      </x:c>
    </x:row>
    <x:row r="10" ht="70" customHeight="1">
      <x:c r="A10" s="46" t="str">
        <x:v>CASE-003</x:v>
      </x:c>
      <x:c r="B10" s="46" t="str">
        <x:v>O1</x:v>
      </x:c>
      <x:c r="C10" s="46" t="str">
        <x:v>商务结果</x:v>
      </x:c>
      <x:c r="D10" s="46" t="str">
        <x:v>学生能控制催复节奏，以信息换信息推动卖方进入正式报盘。</x:v>
      </x:c>
      <x:c r="E10" s="46" t="str">
        <x:v>学生识别两个局面，并在适用条件下执行至少一条核心策略，AI 对手作出可验证回应。</x:v>
      </x:c>
      <x:c r="F10" s="46" t="str">
        <x:v>是</x:v>
      </x:c>
      <x:c r="G10" s="46" t="str">
        <x:v>哪一个判断或行动最直接推动了本轮结果？如何迁移到下一关？</x:v>
      </x:c>
      <x:c r="H10" s="46" t="str">
        <x:v>按课程路线进入下一小节。</x:v>
      </x:c>
      <x:c r="I10" s="50" t="str">
        <x:f>IF(AND(A10&lt;&gt;"",B10&lt;&gt;"",D10&lt;&gt;"",E10&lt;&gt;"",G10&lt;&gt;""),"完整","请补充")</x:f>
        <x:v>完整</x:v>
      </x:c>
    </x:row>
    <x:row r="11" ht="70" customHeight="1">
      <x:c r="A11" s="46" t="str">
        <x:v>CASE-003</x:v>
      </x:c>
      <x:c r="B11" s="46" t="str">
        <x:v>O2</x:v>
      </x:c>
      <x:c r="C11" s="46" t="str">
        <x:v>风险控制</x:v>
      </x:c>
      <x:c r="D11" s="46" t="str">
        <x:v>关键风险未被控制：买方底牌被单向收集，却仍得不到正式报价。</x:v>
      </x:c>
      <x:c r="E11" s="46" t="str">
        <x:v>学生忽略关键条件，或使用了表中“不建议的做法”，且在脚手架后仍未修正。</x:v>
      </x:c>
      <x:c r="F11" s="46" t="str">
        <x:v>否</x:v>
      </x:c>
      <x:c r="G11" s="46" t="str">
        <x:v>若只能重做一个决策，你会先补充哪项证据、条件或行动？</x:v>
      </x:c>
      <x:c r="H11" s="46" t="str">
        <x:v>重练“催询并进行条件探询”并仅使用一级提示。</x:v>
      </x:c>
      <x:c r="I11" s="50" t="str">
        <x:f>IF(AND(A11&lt;&gt;"",B11&lt;&gt;"",D11&lt;&gt;"",E11&lt;&gt;"",G11&lt;&gt;""),"完整","请补充")</x:f>
        <x:v>完整</x:v>
      </x:c>
    </x:row>
    <x:row r="12" ht="70" customHeight="1">
      <x:c r="A12" s="46" t="str">
        <x:v>CASE-004</x:v>
      </x:c>
      <x:c r="B12" s="46" t="str">
        <x:v>O1</x:v>
      </x:c>
      <x:c r="C12" s="46" t="str">
        <x:v>商务结果</x:v>
      </x:c>
      <x:c r="D12" s="46" t="str">
        <x:v>学生能识别无约束报价并推动对方作出可依赖的正式承诺。</x:v>
      </x:c>
      <x:c r="E12" s="46" t="str">
        <x:v>学生识别两个局面，并在适用条件下执行至少一条核心策略，AI 对手作出可验证回应。</x:v>
      </x:c>
      <x:c r="F12" s="46" t="str">
        <x:v>是</x:v>
      </x:c>
      <x:c r="G12" s="46" t="str">
        <x:v>哪一个判断或行动最直接推动了本轮结果？如何迁移到下一关？</x:v>
      </x:c>
      <x:c r="H12" s="46" t="str">
        <x:v>按课程路线进入下一小节。</x:v>
      </x:c>
      <x:c r="I12" s="50" t="str">
        <x:f>IF(AND(A12&lt;&gt;"",B12&lt;&gt;"",D12&lt;&gt;"",E12&lt;&gt;"",G12&lt;&gt;""),"完整","请补充")</x:f>
        <x:v>完整</x:v>
      </x:c>
    </x:row>
    <x:row r="13" ht="70" customHeight="1">
      <x:c r="A13" s="46" t="str">
        <x:v>CASE-004</x:v>
      </x:c>
      <x:c r="B13" s="46" t="str">
        <x:v>O2</x:v>
      </x:c>
      <x:c r="C13" s="46" t="str">
        <x:v>风险控制</x:v>
      </x:c>
      <x:c r="D13" s="46" t="str">
        <x:v>关键风险未被控制：买方无法安排接受、还盘和内部审批。</x:v>
      </x:c>
      <x:c r="E13" s="46" t="str">
        <x:v>学生忽略关键条件，或使用了表中“不建议的做法”，且在脚手架后仍未修正。</x:v>
      </x:c>
      <x:c r="F13" s="46" t="str">
        <x:v>否</x:v>
      </x:c>
      <x:c r="G13" s="46" t="str">
        <x:v>若只能重做一个决策，你会先补充哪项证据、条件或行动？</x:v>
      </x:c>
      <x:c r="H13" s="46" t="str">
        <x:v>重练“识别虚盘并推动实盘”并仅使用一级提示。</x:v>
      </x:c>
      <x:c r="I13" s="50" t="str">
        <x:f>IF(AND(A13&lt;&gt;"",B13&lt;&gt;"",D13&lt;&gt;"",E13&lt;&gt;"",G13&lt;&gt;""),"完整","请补充")</x:f>
        <x:v>完整</x:v>
      </x:c>
    </x:row>
    <x:row r="14" ht="70" customHeight="1">
      <x:c r="A14" s="46" t="str">
        <x:v>CASE-005</x:v>
      </x:c>
      <x:c r="B14" s="46" t="str">
        <x:v>O1</x:v>
      </x:c>
      <x:c r="C14" s="46" t="str">
        <x:v>商务结果</x:v>
      </x:c>
      <x:c r="D14" s="46" t="str">
        <x:v>学生能把完整实盘转化为准确、及时且法律效果清楚的回应。</x:v>
      </x:c>
      <x:c r="E14" s="46" t="str">
        <x:v>学生识别两个局面，并在适用条件下执行至少一条核心策略，AI 对手作出可验证回应。</x:v>
      </x:c>
      <x:c r="F14" s="46" t="str">
        <x:v>是</x:v>
      </x:c>
      <x:c r="G14" s="46" t="str">
        <x:v>哪一个判断或行动最直接推动了本轮结果？如何迁移到下一关？</x:v>
      </x:c>
      <x:c r="H14" s="46" t="str">
        <x:v>按课程路线进入下一小节。</x:v>
      </x:c>
      <x:c r="I14" s="50" t="str">
        <x:f>IF(AND(A14&lt;&gt;"",B14&lt;&gt;"",D14&lt;&gt;"",E14&lt;&gt;"",G14&lt;&gt;""),"完整","请补充")</x:f>
        <x:v>完整</x:v>
      </x:c>
    </x:row>
    <x:row r="15" ht="70" customHeight="1">
      <x:c r="A15" s="46" t="str">
        <x:v>CASE-005</x:v>
      </x:c>
      <x:c r="B15" s="46" t="str">
        <x:v>O2</x:v>
      </x:c>
      <x:c r="C15" s="46" t="str">
        <x:v>风险控制</x:v>
      </x:c>
      <x:c r="D15" s="46" t="str">
        <x:v>关键风险未被控制：双方对合同是否成立产生相反理解。</x:v>
      </x:c>
      <x:c r="E15" s="46" t="str">
        <x:v>学生忽略关键条件，或使用了表中“不建议的做法”，且在脚手架后仍未修正。</x:v>
      </x:c>
      <x:c r="F15" s="46" t="str">
        <x:v>否</x:v>
      </x:c>
      <x:c r="G15" s="46" t="str">
        <x:v>若只能重做一个决策，你会先补充哪项证据、条件或行动？</x:v>
      </x:c>
      <x:c r="H15" s="46" t="str">
        <x:v>重练“复核并回应条件完整的实盘”并仅使用一级提示。</x:v>
      </x:c>
      <x:c r="I15" s="50" t="str">
        <x:f>IF(AND(A15&lt;&gt;"",B15&lt;&gt;"",D15&lt;&gt;"",E15&lt;&gt;"",G15&lt;&gt;""),"完整","请补充")</x:f>
        <x:v>完整</x:v>
      </x:c>
    </x:row>
    <x:row r="16" ht="70" customHeight="1">
      <x:c r="A16" s="46" t="str">
        <x:v>CASE-006</x:v>
      </x:c>
      <x:c r="B16" s="46" t="str">
        <x:v>O1</x:v>
      </x:c>
      <x:c r="C16" s="46" t="str">
        <x:v>商务结果</x:v>
      </x:c>
      <x:c r="D16" s="46" t="str">
        <x:v>学生能用客观标准与条件交换缩小价格差距，而不是无理由压价。</x:v>
      </x:c>
      <x:c r="E16" s="46" t="str">
        <x:v>学生识别两个局面，并在适用条件下执行至少一条核心策略，AI 对手作出可验证回应。</x:v>
      </x:c>
      <x:c r="F16" s="46" t="str">
        <x:v>是</x:v>
      </x:c>
      <x:c r="G16" s="46" t="str">
        <x:v>哪一个判断或行动最直接推动了本轮结果？如何迁移到下一关？</x:v>
      </x:c>
      <x:c r="H16" s="46" t="str">
        <x:v>按课程路线进入下一小节。</x:v>
      </x:c>
      <x:c r="I16" s="50" t="str">
        <x:f>IF(AND(A16&lt;&gt;"",B16&lt;&gt;"",D16&lt;&gt;"",E16&lt;&gt;"",G16&lt;&gt;""),"完整","请补充")</x:f>
        <x:v>完整</x:v>
      </x:c>
    </x:row>
    <x:row r="17" ht="70" customHeight="1">
      <x:c r="A17" s="46" t="str">
        <x:v>CASE-006</x:v>
      </x:c>
      <x:c r="B17" s="46" t="str">
        <x:v>O2</x:v>
      </x:c>
      <x:c r="C17" s="46" t="str">
        <x:v>风险控制</x:v>
      </x:c>
      <x:c r="D17" s="46" t="str">
        <x:v>关键风险未被控制：只盯单价会错失等值利益和成交机会。</x:v>
      </x:c>
      <x:c r="E17" s="46" t="str">
        <x:v>学生忽略关键条件，或使用了表中“不建议的做法”，且在脚手架后仍未修正。</x:v>
      </x:c>
      <x:c r="F17" s="46" t="str">
        <x:v>否</x:v>
      </x:c>
      <x:c r="G17" s="46" t="str">
        <x:v>若只能重做一个决策，你会先补充哪项证据、条件或行动？</x:v>
      </x:c>
      <x:c r="H17" s="46" t="str">
        <x:v>重练“开展有依据的价格还盘”并仅使用一级提示。</x:v>
      </x:c>
      <x:c r="I17" s="50" t="str">
        <x:f>IF(AND(A17&lt;&gt;"",B17&lt;&gt;"",D17&lt;&gt;"",E17&lt;&gt;"",G17&lt;&gt;""),"完整","请补充")</x:f>
        <x:v>完整</x:v>
      </x:c>
    </x:row>
    <x:row r="18" ht="70" customHeight="1">
      <x:c r="A18" s="46" t="str">
        <x:v>CASE-007</x:v>
      </x:c>
      <x:c r="B18" s="46" t="str">
        <x:v>O1</x:v>
      </x:c>
      <x:c r="C18" s="46" t="str">
        <x:v>商务结果</x:v>
      </x:c>
      <x:c r="D18" s="46" t="str">
        <x:v>学生能从立场转向利益，在不同议题间实现有条件交换。</x:v>
      </x:c>
      <x:c r="E18" s="46" t="str">
        <x:v>学生识别两个局面，并在适用条件下执行至少一条核心策略，AI 对手作出可验证回应。</x:v>
      </x:c>
      <x:c r="F18" s="46" t="str">
        <x:v>是</x:v>
      </x:c>
      <x:c r="G18" s="46" t="str">
        <x:v>哪一个判断或行动最直接推动了本轮结果？如何迁移到下一关？</x:v>
      </x:c>
      <x:c r="H18" s="46" t="str">
        <x:v>按课程路线进入下一小节。</x:v>
      </x:c>
      <x:c r="I18" s="50" t="str">
        <x:f>IF(AND(A18&lt;&gt;"",B18&lt;&gt;"",D18&lt;&gt;"",E18&lt;&gt;"",G18&lt;&gt;""),"完整","请补充")</x:f>
        <x:v>完整</x:v>
      </x:c>
    </x:row>
    <x:row r="19" ht="70" customHeight="1">
      <x:c r="A19" s="46" t="str">
        <x:v>CASE-007</x:v>
      </x:c>
      <x:c r="B19" s="46" t="str">
        <x:v>O2</x:v>
      </x:c>
      <x:c r="C19" s="46" t="str">
        <x:v>风险控制</x:v>
      </x:c>
      <x:c r="D19" s="46" t="str">
        <x:v>关键风险未被控制：为追求快交而接受不可控分批，可能破坏项目计划。</x:v>
      </x:c>
      <x:c r="E19" s="46" t="str">
        <x:v>学生忽略关键条件，或使用了表中“不建议的做法”，且在脚手架后仍未修正。</x:v>
      </x:c>
      <x:c r="F19" s="46" t="str">
        <x:v>否</x:v>
      </x:c>
      <x:c r="G19" s="46" t="str">
        <x:v>若只能重做一个决策，你会先补充哪项证据、条件或行动？</x:v>
      </x:c>
      <x:c r="H19" s="46" t="str">
        <x:v>重练“就付款与交期开展多维磋商”并仅使用一级提示。</x:v>
      </x:c>
      <x:c r="I19" s="50" t="str">
        <x:f>IF(AND(A19&lt;&gt;"",B19&lt;&gt;"",D19&lt;&gt;"",E19&lt;&gt;"",G19&lt;&gt;""),"完整","请补充")</x:f>
        <x:v>完整</x:v>
      </x:c>
    </x:row>
    <x:row r="20" ht="70" customHeight="1">
      <x:c r="A20" s="46" t="str">
        <x:v>CASE-008</x:v>
      </x:c>
      <x:c r="B20" s="46" t="str">
        <x:v>O1</x:v>
      </x:c>
      <x:c r="C20" s="46" t="str">
        <x:v>商务结果</x:v>
      </x:c>
      <x:c r="D20" s="46" t="str">
        <x:v>学生能用价值创造和清晰收口实现可执行的双赢成交。</x:v>
      </x:c>
      <x:c r="E20" s="46" t="str">
        <x:v>学生识别两个局面，并在适用条件下执行至少一条核心策略，AI 对手作出可验证回应。</x:v>
      </x:c>
      <x:c r="F20" s="46" t="str">
        <x:v>是</x:v>
      </x:c>
      <x:c r="G20" s="46" t="str">
        <x:v>哪一个判断或行动最直接推动了本轮结果？如何迁移到下一关？</x:v>
      </x:c>
      <x:c r="H20" s="46" t="str">
        <x:v>按课程路线进入下一小节。</x:v>
      </x:c>
      <x:c r="I20" s="50" t="str">
        <x:f>IF(AND(A20&lt;&gt;"",B20&lt;&gt;"",D20&lt;&gt;"",E20&lt;&gt;"",G20&lt;&gt;""),"完整","请补充")</x:f>
        <x:v>完整</x:v>
      </x:c>
    </x:row>
    <x:row r="21" ht="70" customHeight="1">
      <x:c r="A21" s="46" t="str">
        <x:v>CASE-008</x:v>
      </x:c>
      <x:c r="B21" s="46" t="str">
        <x:v>O2</x:v>
      </x:c>
      <x:c r="C21" s="46" t="str">
        <x:v>风险控制</x:v>
      </x:c>
      <x:c r="D21" s="46" t="str">
        <x:v>关键风险未被控制：成交后双方对增值承诺理解不一。</x:v>
      </x:c>
      <x:c r="E21" s="46" t="str">
        <x:v>学生忽略关键条件，或使用了表中“不建议的做法”，且在脚手架后仍未修正。</x:v>
      </x:c>
      <x:c r="F21" s="46" t="str">
        <x:v>否</x:v>
      </x:c>
      <x:c r="G21" s="46" t="str">
        <x:v>若只能重做一个决策，你会先补充哪项证据、条件或行动？</x:v>
      </x:c>
      <x:c r="H21" s="46" t="str">
        <x:v>重练“用有条件接受完成终局成交”并仅使用一级提示。</x:v>
      </x:c>
      <x:c r="I21" s="50" t="str">
        <x:f>IF(AND(A21&lt;&gt;"",B21&lt;&gt;"",D21&lt;&gt;"",E21&lt;&gt;"",G21&lt;&gt;""),"完整","请补充")</x:f>
        <x:v>完整</x:v>
      </x:c>
    </x:row>
    <x:row r="22" ht="70" customHeight="1">
      <x:c r="A22" s="46" t="str">
        <x:v>CASE-009</x:v>
      </x:c>
      <x:c r="B22" s="46" t="str">
        <x:v>O1</x:v>
      </x:c>
      <x:c r="C22" s="46" t="str">
        <x:v>商务结果</x:v>
      </x:c>
      <x:c r="D22" s="46" t="str">
        <x:v>学生能把谈判结果固化为准确、完整且可执行的书面订单。</x:v>
      </x:c>
      <x:c r="E22" s="46" t="str">
        <x:v>学生识别两个局面，并在适用条件下执行至少一条核心策略，AI 对手作出可验证回应。</x:v>
      </x:c>
      <x:c r="F22" s="46" t="str">
        <x:v>是</x:v>
      </x:c>
      <x:c r="G22" s="46" t="str">
        <x:v>哪一个判断或行动最直接推动了本轮结果？如何迁移到下一关？</x:v>
      </x:c>
      <x:c r="H22" s="46" t="str">
        <x:v>按课程路线进入下一小节。</x:v>
      </x:c>
      <x:c r="I22" s="50" t="str">
        <x:f>IF(AND(A22&lt;&gt;"",B22&lt;&gt;"",D22&lt;&gt;"",E22&lt;&gt;"",G22&lt;&gt;""),"完整","请补充")</x:f>
        <x:v>完整</x:v>
      </x:c>
    </x:row>
    <x:row r="23" ht="70" customHeight="1">
      <x:c r="A23" s="46" t="str">
        <x:v>CASE-009</x:v>
      </x:c>
      <x:c r="B23" s="46" t="str">
        <x:v>O2</x:v>
      </x:c>
      <x:c r="C23" s="46" t="str">
        <x:v>风险控制</x:v>
      </x:c>
      <x:c r="D23" s="46" t="str">
        <x:v>关键风险未被控制：错误签署后增加改约成本和履约争议。</x:v>
      </x:c>
      <x:c r="E23" s="46" t="str">
        <x:v>学生忽略关键条件，或使用了表中“不建议的做法”，且在脚手架后仍未修正。</x:v>
      </x:c>
      <x:c r="F23" s="46" t="str">
        <x:v>否</x:v>
      </x:c>
      <x:c r="G23" s="46" t="str">
        <x:v>若只能重做一个决策，你会先补充哪项证据、条件或行动？</x:v>
      </x:c>
      <x:c r="H23" s="46" t="str">
        <x:v>重练“确认成交并拟备销售确认书”并仅使用一级提示。</x:v>
      </x:c>
      <x:c r="I23" s="50" t="str">
        <x:f>IF(AND(A23&lt;&gt;"",B23&lt;&gt;"",D23&lt;&gt;"",E23&lt;&gt;"",G23&lt;&gt;""),"完整","请补充")</x:f>
        <x:v>完整</x:v>
      </x:c>
    </x:row>
    <x:row r="24" ht="70" customHeight="1">
      <x:c r="A24" s="46" t="str">
        <x:v>CASE-010</x:v>
      </x:c>
      <x:c r="B24" s="46" t="str">
        <x:v>O1</x:v>
      </x:c>
      <x:c r="C24" s="46" t="str">
        <x:v>商务结果</x:v>
      </x:c>
      <x:c r="D24" s="46" t="str">
        <x:v>学生能以明确责任、期限和条款清单推动信用证按时开立。</x:v>
      </x:c>
      <x:c r="E24" s="46" t="str">
        <x:v>学生识别两个局面，并在适用条件下执行至少一条核心策略，AI 对手作出可验证回应。</x:v>
      </x:c>
      <x:c r="F24" s="46" t="str">
        <x:v>是</x:v>
      </x:c>
      <x:c r="G24" s="46" t="str">
        <x:v>哪一个判断或行动最直接推动了本轮结果？如何迁移到下一关？</x:v>
      </x:c>
      <x:c r="H24" s="46" t="str">
        <x:v>按课程路线进入下一小节。</x:v>
      </x:c>
      <x:c r="I24" s="50" t="str">
        <x:f>IF(AND(A24&lt;&gt;"",B24&lt;&gt;"",D24&lt;&gt;"",E24&lt;&gt;"",G24&lt;&gt;""),"完整","请补充")</x:f>
        <x:v>完整</x:v>
      </x:c>
    </x:row>
    <x:row r="25" ht="70" customHeight="1">
      <x:c r="A25" s="46" t="str">
        <x:v>CASE-010</x:v>
      </x:c>
      <x:c r="B25" s="46" t="str">
        <x:v>O2</x:v>
      </x:c>
      <x:c r="C25" s="46" t="str">
        <x:v>风险控制</x:v>
      </x:c>
      <x:c r="D25" s="46" t="str">
        <x:v>关键风险未被控制：不合理条款导致后续改证费用与不符点。</x:v>
      </x:c>
      <x:c r="E25" s="46" t="str">
        <x:v>学生忽略关键条件，或使用了表中“不建议的做法”，且在脚手架后仍未修正。</x:v>
      </x:c>
      <x:c r="F25" s="46" t="str">
        <x:v>否</x:v>
      </x:c>
      <x:c r="G25" s="46" t="str">
        <x:v>若只能重做一个决策，你会先补充哪项证据、条件或行动？</x:v>
      </x:c>
      <x:c r="H25" s="46" t="str">
        <x:v>重练“专业催开信用证”并仅使用一级提示。</x:v>
      </x:c>
      <x:c r="I25" s="50" t="str">
        <x:f>IF(AND(A25&lt;&gt;"",B25&lt;&gt;"",D25&lt;&gt;"",E25&lt;&gt;"",G25&lt;&gt;""),"完整","请补充")</x:f>
        <x:v>完整</x:v>
      </x:c>
    </x:row>
    <x:row r="26" ht="70" customHeight="1">
      <x:c r="A26" s="46" t="str">
        <x:v>CASE-011</x:v>
      </x:c>
      <x:c r="B26" s="46" t="str">
        <x:v>O1</x:v>
      </x:c>
      <x:c r="C26" s="46" t="str">
        <x:v>商务结果</x:v>
      </x:c>
      <x:c r="D26" s="46" t="str">
        <x:v>学生能形成要素完整、成本合理并可验收的包装与唛头条款。</x:v>
      </x:c>
      <x:c r="E26" s="46" t="str">
        <x:v>学生识别两个局面，并在适用条件下执行至少一条核心策略，AI 对手作出可验证回应。</x:v>
      </x:c>
      <x:c r="F26" s="46" t="str">
        <x:v>是</x:v>
      </x:c>
      <x:c r="G26" s="46" t="str">
        <x:v>哪一个判断或行动最直接推动了本轮结果？如何迁移到下一关？</x:v>
      </x:c>
      <x:c r="H26" s="46" t="str">
        <x:v>按课程路线进入下一小节。</x:v>
      </x:c>
      <x:c r="I26" s="50" t="str">
        <x:f>IF(AND(A26&lt;&gt;"",B26&lt;&gt;"",D26&lt;&gt;"",E26&lt;&gt;"",G26&lt;&gt;""),"完整","请补充")</x:f>
        <x:v>完整</x:v>
      </x:c>
    </x:row>
    <x:row r="27" ht="70" customHeight="1">
      <x:c r="A27" s="46" t="str">
        <x:v>CASE-011</x:v>
      </x:c>
      <x:c r="B27" s="46" t="str">
        <x:v>O2</x:v>
      </x:c>
      <x:c r="C27" s="46" t="str">
        <x:v>风险控制</x:v>
      </x:c>
      <x:c r="D27" s="46" t="str">
        <x:v>关键风险未被控制：错运、混箱或仓库无法快速分拣。</x:v>
      </x:c>
      <x:c r="E27" s="46" t="str">
        <x:v>学生忽略关键条件，或使用了表中“不建议的做法”，且在脚手架后仍未修正。</x:v>
      </x:c>
      <x:c r="F27" s="46" t="str">
        <x:v>否</x:v>
      </x:c>
      <x:c r="G27" s="46" t="str">
        <x:v>若只能重做一个决策，你会先补充哪项证据、条件或行动？</x:v>
      </x:c>
      <x:c r="H27" s="46" t="str">
        <x:v>重练“磋商包装与运输唛头”并仅使用一级提示。</x:v>
      </x:c>
      <x:c r="I27" s="50" t="str">
        <x:f>IF(AND(A27&lt;&gt;"",B27&lt;&gt;"",D27&lt;&gt;"",E27&lt;&gt;"",G27&lt;&gt;""),"完整","请补充")</x:f>
        <x:v>完整</x:v>
      </x:c>
    </x:row>
    <x:row r="28" ht="70" customHeight="1">
      <x:c r="A28" s="46" t="str">
        <x:v>CASE-012</x:v>
      </x:c>
      <x:c r="B28" s="46" t="str">
        <x:v>O1</x:v>
      </x:c>
      <x:c r="C28" s="46" t="str">
        <x:v>商务结果</x:v>
      </x:c>
      <x:c r="D28" s="46" t="str">
        <x:v>学生能把物流选择、信用证文本和项目风险联动起来。</x:v>
      </x:c>
      <x:c r="E28" s="46" t="str">
        <x:v>学生识别两个局面，并在适用条件下执行至少一条核心策略，AI 对手作出可验证回应。</x:v>
      </x:c>
      <x:c r="F28" s="46" t="str">
        <x:v>是</x:v>
      </x:c>
      <x:c r="G28" s="46" t="str">
        <x:v>哪一个判断或行动最直接推动了本轮结果？如何迁移到下一关？</x:v>
      </x:c>
      <x:c r="H28" s="46" t="str">
        <x:v>按课程路线进入下一小节。</x:v>
      </x:c>
      <x:c r="I28" s="50" t="str">
        <x:f>IF(AND(A28&lt;&gt;"",B28&lt;&gt;"",D28&lt;&gt;"",E28&lt;&gt;"",G28&lt;&gt;""),"完整","请补充")</x:f>
        <x:v>完整</x:v>
      </x:c>
    </x:row>
    <x:row r="29" ht="70" customHeight="1">
      <x:c r="A29" s="46" t="str">
        <x:v>CASE-012</x:v>
      </x:c>
      <x:c r="B29" s="46" t="str">
        <x:v>O2</x:v>
      </x:c>
      <x:c r="C29" s="46" t="str">
        <x:v>风险控制</x:v>
      </x:c>
      <x:c r="D29" s="46" t="str">
        <x:v>关键风险未被控制：中转衔接失败导致整体延期。</x:v>
      </x:c>
      <x:c r="E29" s="46" t="str">
        <x:v>学生忽略关键条件，或使用了表中“不建议的做法”，且在脚手架后仍未修正。</x:v>
      </x:c>
      <x:c r="F29" s="46" t="str">
        <x:v>否</x:v>
      </x:c>
      <x:c r="G29" s="46" t="str">
        <x:v>若只能重做一个决策，你会先补充哪项证据、条件或行动？</x:v>
      </x:c>
      <x:c r="H29" s="46" t="str">
        <x:v>重练“磋商分批转船并催装”并仅使用一级提示。</x:v>
      </x:c>
      <x:c r="I29" s="50" t="str">
        <x:f>IF(AND(A29&lt;&gt;"",B29&lt;&gt;"",D29&lt;&gt;"",E29&lt;&gt;"",G29&lt;&gt;""),"完整","请补充")</x:f>
        <x:v>完整</x:v>
      </x:c>
    </x:row>
    <x:row r="30" ht="70" customHeight="1">
      <x:c r="A30" s="46" t="str">
        <x:v>CASE-013</x:v>
      </x:c>
      <x:c r="B30" s="46" t="str">
        <x:v>O1</x:v>
      </x:c>
      <x:c r="C30" s="46" t="str">
        <x:v>商务结果</x:v>
      </x:c>
      <x:c r="D30" s="46" t="str">
        <x:v>学生能产出依据明确、风险边界清楚的改证意见。</x:v>
      </x:c>
      <x:c r="E30" s="46" t="str">
        <x:v>学生识别两个局面，并在适用条件下执行至少一条核心策略，AI 对手作出可验证回应。</x:v>
      </x:c>
      <x:c r="F30" s="46" t="str">
        <x:v>是</x:v>
      </x:c>
      <x:c r="G30" s="46" t="str">
        <x:v>哪一个判断或行动最直接推动了本轮结果？如何迁移到下一关？</x:v>
      </x:c>
      <x:c r="H30" s="46" t="str">
        <x:v>按课程路线进入下一小节。</x:v>
      </x:c>
      <x:c r="I30" s="50" t="str">
        <x:f>IF(AND(A30&lt;&gt;"",B30&lt;&gt;"",D30&lt;&gt;"",E30&lt;&gt;"",G30&lt;&gt;""),"完整","请补充")</x:f>
        <x:v>完整</x:v>
      </x:c>
    </x:row>
    <x:row r="31" ht="70" customHeight="1">
      <x:c r="A31" s="46" t="str">
        <x:v>CASE-013</x:v>
      </x:c>
      <x:c r="B31" s="46" t="str">
        <x:v>O2</x:v>
      </x:c>
      <x:c r="C31" s="46" t="str">
        <x:v>风险控制</x:v>
      </x:c>
      <x:c r="D31" s="46" t="str">
        <x:v>关键风险未被控制：无原则改证把卖方履约风险转给买方。</x:v>
      </x:c>
      <x:c r="E31" s="46" t="str">
        <x:v>学生忽略关键条件，或使用了表中“不建议的做法”，且在脚手架后仍未修正。</x:v>
      </x:c>
      <x:c r="F31" s="46" t="str">
        <x:v>否</x:v>
      </x:c>
      <x:c r="G31" s="46" t="str">
        <x:v>若只能重做一个决策，你会先补充哪项证据、条件或行动？</x:v>
      </x:c>
      <x:c r="H31" s="46" t="str">
        <x:v>重练“审核信用证并处理改证”并仅使用一级提示。</x:v>
      </x:c>
      <x:c r="I31" s="50" t="str">
        <x:f>IF(AND(A31&lt;&gt;"",B31&lt;&gt;"",D31&lt;&gt;"",E31&lt;&gt;"",G31&lt;&gt;""),"完整","请补充")</x:f>
        <x:v>完整</x:v>
      </x:c>
    </x:row>
    <x:row r="32" ht="70" customHeight="1">
      <x:c r="A32" s="46" t="str">
        <x:v>CASE-014</x:v>
      </x:c>
      <x:c r="B32" s="46" t="str">
        <x:v>O1</x:v>
      </x:c>
      <x:c r="C32" s="46" t="str">
        <x:v>商务结果</x:v>
      </x:c>
      <x:c r="D32" s="46" t="str">
        <x:v>学生能把装运信息、单据审核、到港准备和付款节点连成完整流程。</x:v>
      </x:c>
      <x:c r="E32" s="46" t="str">
        <x:v>学生识别两个局面，并在适用条件下执行至少一条核心策略，AI 对手作出可验证回应。</x:v>
      </x:c>
      <x:c r="F32" s="46" t="str">
        <x:v>是</x:v>
      </x:c>
      <x:c r="G32" s="46" t="str">
        <x:v>哪一个判断或行动最直接推动了本轮结果？如何迁移到下一关？</x:v>
      </x:c>
      <x:c r="H32" s="46" t="str">
        <x:v>按课程路线进入下一小节。</x:v>
      </x:c>
      <x:c r="I32" s="50" t="str">
        <x:f>IF(AND(A32&lt;&gt;"",B32&lt;&gt;"",D32&lt;&gt;"",E32&lt;&gt;"",G32&lt;&gt;""),"完整","请补充")</x:f>
        <x:v>完整</x:v>
      </x:c>
    </x:row>
    <x:row r="33" ht="70" customHeight="1">
      <x:c r="A33" s="46" t="str">
        <x:v>CASE-014</x:v>
      </x:c>
      <x:c r="B33" s="46" t="str">
        <x:v>O2</x:v>
      </x:c>
      <x:c r="C33" s="46" t="str">
        <x:v>风险控制</x:v>
      </x:c>
      <x:c r="D33" s="46" t="str">
        <x:v>关键风险未被控制：无依据拒付造成信用和银行风险。</x:v>
      </x:c>
      <x:c r="E33" s="46" t="str">
        <x:v>学生忽略关键条件，或使用了表中“不建议的做法”，且在脚手架后仍未修正。</x:v>
      </x:c>
      <x:c r="F33" s="46" t="str">
        <x:v>否</x:v>
      </x:c>
      <x:c r="G33" s="46" t="str">
        <x:v>若只能重做一个决策，你会先补充哪项证据、条件或行动？</x:v>
      </x:c>
      <x:c r="H33" s="46" t="str">
        <x:v>重练“核对交单结汇与装运通知”并仅使用一级提示。</x:v>
      </x:c>
      <x:c r="I33" s="50" t="str">
        <x:f>IF(AND(A33&lt;&gt;"",B33&lt;&gt;"",D33&lt;&gt;"",E33&lt;&gt;"",G33&lt;&gt;""),"完整","请补充")</x:f>
        <x:v>完整</x:v>
      </x:c>
    </x:row>
    <x:row r="34" ht="70" customHeight="1">
      <x:c r="A34" s="46" t="str">
        <x:v>CASE-015</x:v>
      </x:c>
      <x:c r="B34" s="46" t="str">
        <x:v>O1</x:v>
      </x:c>
      <x:c r="C34" s="46" t="str">
        <x:v>商务结果</x:v>
      </x:c>
      <x:c r="D34" s="46" t="str">
        <x:v>学生能用证据程序平衡卖方结算确定性与买方质量救济。</x:v>
      </x:c>
      <x:c r="E34" s="46" t="str">
        <x:v>学生识别两个局面，并在适用条件下执行至少一条核心策略，AI 对手作出可验证回应。</x:v>
      </x:c>
      <x:c r="F34" s="46" t="str">
        <x:v>是</x:v>
      </x:c>
      <x:c r="G34" s="46" t="str">
        <x:v>哪一个判断或行动最直接推动了本轮结果？如何迁移到下一关？</x:v>
      </x:c>
      <x:c r="H34" s="46" t="str">
        <x:v>按课程路线进入下一小节。</x:v>
      </x:c>
      <x:c r="I34" s="50" t="str">
        <x:f>IF(AND(A34&lt;&gt;"",B34&lt;&gt;"",D34&lt;&gt;"",E34&lt;&gt;"",G34&lt;&gt;""),"完整","请补充")</x:f>
        <x:v>完整</x:v>
      </x:c>
    </x:row>
    <x:row r="35" ht="70" customHeight="1">
      <x:c r="A35" s="46" t="str">
        <x:v>CASE-015</x:v>
      </x:c>
      <x:c r="B35" s="46" t="str">
        <x:v>O2</x:v>
      </x:c>
      <x:c r="C35" s="46" t="str">
        <x:v>风险控制</x:v>
      </x:c>
      <x:c r="D35" s="46" t="str">
        <x:v>关键风险未被控制：过宽权利导致对方拒绝或提高风险溢价。</x:v>
      </x:c>
      <x:c r="E35" s="46" t="str">
        <x:v>学生忽略关键条件，或使用了表中“不建议的做法”，且在脚手架后仍未修正。</x:v>
      </x:c>
      <x:c r="F35" s="46" t="str">
        <x:v>否</x:v>
      </x:c>
      <x:c r="G35" s="46" t="str">
        <x:v>若只能重做一个决策，你会先补充哪项证据、条件或行动？</x:v>
      </x:c>
      <x:c r="H35" s="46" t="str">
        <x:v>重练“形成平衡的检验条款”并仅使用一级提示。</x:v>
      </x:c>
      <x:c r="I35" s="50" t="str">
        <x:f>IF(AND(A35&lt;&gt;"",B35&lt;&gt;"",D35&lt;&gt;"",E35&lt;&gt;"",G35&lt;&gt;""),"完整","请补充")</x:f>
        <x:v>完整</x:v>
      </x:c>
    </x:row>
    <x:row r="36" ht="70" customHeight="1">
      <x:c r="A36" s="46" t="str">
        <x:v>CASE-016</x:v>
      </x:c>
      <x:c r="B36" s="46" t="str">
        <x:v>O1</x:v>
      </x:c>
      <x:c r="C36" s="46" t="str">
        <x:v>商务结果</x:v>
      </x:c>
      <x:c r="D36" s="46" t="str">
        <x:v>学生能以风险与成本证据做出知情投保决策。</x:v>
      </x:c>
      <x:c r="E36" s="46" t="str">
        <x:v>学生识别两个局面，并在适用条件下执行至少一条核心策略，AI 对手作出可验证回应。</x:v>
      </x:c>
      <x:c r="F36" s="46" t="str">
        <x:v>是</x:v>
      </x:c>
      <x:c r="G36" s="46" t="str">
        <x:v>哪一个判断或行动最直接推动了本轮结果？如何迁移到下一关？</x:v>
      </x:c>
      <x:c r="H36" s="46" t="str">
        <x:v>按课程路线进入下一小节。</x:v>
      </x:c>
      <x:c r="I36" s="50" t="str">
        <x:f>IF(AND(A36&lt;&gt;"",B36&lt;&gt;"",D36&lt;&gt;"",E36&lt;&gt;"",G36&lt;&gt;""),"完整","请补充")</x:f>
        <x:v>完整</x:v>
      </x:c>
    </x:row>
    <x:row r="37" ht="70" customHeight="1">
      <x:c r="A37" s="46" t="str">
        <x:v>CASE-016</x:v>
      </x:c>
      <x:c r="B37" s="46" t="str">
        <x:v>O2</x:v>
      </x:c>
      <x:c r="C37" s="46" t="str">
        <x:v>风险控制</x:v>
      </x:c>
      <x:c r="D37" s="46" t="str">
        <x:v>关键风险未被控制：支付额外保费却仍存在未识别除外风险。</x:v>
      </x:c>
      <x:c r="E37" s="46" t="str">
        <x:v>学生忽略关键条件，或使用了表中“不建议的做法”，且在脚手架后仍未修正。</x:v>
      </x:c>
      <x:c r="F37" s="46" t="str">
        <x:v>否</x:v>
      </x:c>
      <x:c r="G37" s="46" t="str">
        <x:v>若只能重做一个决策，你会先补充哪项证据、条件或行动？</x:v>
      </x:c>
      <x:c r="H37" s="46" t="str">
        <x:v>重练“磋商保险险别与保费”并仅使用一级提示。</x:v>
      </x:c>
      <x:c r="I37" s="50" t="str">
        <x:f>IF(AND(A37&lt;&gt;"",B37&lt;&gt;"",D37&lt;&gt;"",E37&lt;&gt;"",G37&lt;&gt;""),"完整","请补充")</x:f>
        <x:v>完整</x:v>
      </x:c>
    </x:row>
    <x:row r="38" ht="70" customHeight="1">
      <x:c r="A38" s="46" t="str">
        <x:v>CASE-017</x:v>
      </x:c>
      <x:c r="B38" s="46" t="str">
        <x:v>O1</x:v>
      </x:c>
      <x:c r="C38" s="46" t="str">
        <x:v>商务结果</x:v>
      </x:c>
      <x:c r="D38" s="46" t="str">
        <x:v>学生能形成唯一、完整并兼顾执行便利的仲裁约定。</x:v>
      </x:c>
      <x:c r="E38" s="46" t="str">
        <x:v>学生识别两个局面，并在适用条件下执行至少一条核心策略，AI 对手作出可验证回应。</x:v>
      </x:c>
      <x:c r="F38" s="46" t="str">
        <x:v>是</x:v>
      </x:c>
      <x:c r="G38" s="46" t="str">
        <x:v>哪一个判断或行动最直接推动了本轮结果？如何迁移到下一关？</x:v>
      </x:c>
      <x:c r="H38" s="46" t="str">
        <x:v>按课程路线进入下一小节。</x:v>
      </x:c>
      <x:c r="I38" s="50" t="str">
        <x:f>IF(AND(A38&lt;&gt;"",B38&lt;&gt;"",D38&lt;&gt;"",E38&lt;&gt;"",G38&lt;&gt;""),"完整","请补充")</x:f>
        <x:v>完整</x:v>
      </x:c>
    </x:row>
    <x:row r="39" ht="70" customHeight="1">
      <x:c r="A39" s="46" t="str">
        <x:v>CASE-017</x:v>
      </x:c>
      <x:c r="B39" s="46" t="str">
        <x:v>O2</x:v>
      </x:c>
      <x:c r="C39" s="46" t="str">
        <x:v>风险控制</x:v>
      </x:c>
      <x:c r="D39" s="46" t="str">
        <x:v>关键风险未被控制：只争机构名称而忽略真正的程序利益。</x:v>
      </x:c>
      <x:c r="E39" s="46" t="str">
        <x:v>学生忽略关键条件，或使用了表中“不建议的做法”，且在脚手架后仍未修正。</x:v>
      </x:c>
      <x:c r="F39" s="46" t="str">
        <x:v>否</x:v>
      </x:c>
      <x:c r="G39" s="46" t="str">
        <x:v>若只能重做一个决策，你会先补充哪项证据、条件或行动？</x:v>
      </x:c>
      <x:c r="H39" s="46" t="str">
        <x:v>重练“磋商有效明确的仲裁条款”并仅使用一级提示。</x:v>
      </x:c>
      <x:c r="I39" s="50" t="str">
        <x:f>IF(AND(A39&lt;&gt;"",B39&lt;&gt;"",D39&lt;&gt;"",E39&lt;&gt;"",G39&lt;&gt;""),"完整","请补充")</x:f>
        <x:v>完整</x:v>
      </x:c>
    </x:row>
    <x:row r="40" ht="70" customHeight="1">
      <x:c r="A40" s="46" t="str">
        <x:v>CASE-018</x:v>
      </x:c>
      <x:c r="B40" s="46" t="str">
        <x:v>O1</x:v>
      </x:c>
      <x:c r="C40" s="46" t="str">
        <x:v>商务结果</x:v>
      </x:c>
      <x:c r="D40" s="46" t="str">
        <x:v>学生能提交可核验、归责准确且诉求可执行的英文索赔。</x:v>
      </x:c>
      <x:c r="E40" s="46" t="str">
        <x:v>学生识别两个局面，并在适用条件下执行至少一条核心策略，AI 对手作出可验证回应。</x:v>
      </x:c>
      <x:c r="F40" s="46" t="str">
        <x:v>是</x:v>
      </x:c>
      <x:c r="G40" s="46" t="str">
        <x:v>哪一个判断或行动最直接推动了本轮结果？如何迁移到下一关？</x:v>
      </x:c>
      <x:c r="H40" s="46" t="str">
        <x:v>按课程路线进入下一小节。</x:v>
      </x:c>
      <x:c r="I40" s="50" t="str">
        <x:f>IF(AND(A40&lt;&gt;"",B40&lt;&gt;"",D40&lt;&gt;"",E40&lt;&gt;"",G40&lt;&gt;""),"完整","请补充")</x:f>
        <x:v>完整</x:v>
      </x:c>
    </x:row>
    <x:row r="41" ht="70" customHeight="1">
      <x:c r="A41" s="46" t="str">
        <x:v>CASE-018</x:v>
      </x:c>
      <x:c r="B41" s="46" t="str">
        <x:v>O2</x:v>
      </x:c>
      <x:c r="C41" s="46" t="str">
        <x:v>风险控制</x:v>
      </x:c>
      <x:c r="D41" s="46" t="str">
        <x:v>关键风险未被控制：对方无法核验，处理被拖延。</x:v>
      </x:c>
      <x:c r="E41" s="46" t="str">
        <x:v>学生忽略关键条件，或使用了表中“不建议的做法”，且在脚手架后仍未修正。</x:v>
      </x:c>
      <x:c r="F41" s="46" t="str">
        <x:v>否</x:v>
      </x:c>
      <x:c r="G41" s="46" t="str">
        <x:v>若只能重做一个决策，你会先补充哪项证据、条件或行动？</x:v>
      </x:c>
      <x:c r="H41" s="46" t="str">
        <x:v>重练“提出证据链完整的质量索赔”并仅使用一级提示。</x:v>
      </x:c>
      <x:c r="I41" s="50" t="str">
        <x:f>IF(AND(A41&lt;&gt;"",B41&lt;&gt;"",D41&lt;&gt;"",E41&lt;&gt;"",G41&lt;&gt;""),"完整","请补充")</x:f>
        <x:v>完整</x:v>
      </x:c>
    </x:row>
    <x:row r="42" ht="70" customHeight="1">
      <x:c r="A42" s="46" t="str">
        <x:v>CASE-019</x:v>
      </x:c>
      <x:c r="B42" s="46" t="str">
        <x:v>O1</x:v>
      </x:c>
      <x:c r="C42" s="46" t="str">
        <x:v>商务结果</x:v>
      </x:c>
      <x:c r="D42" s="46" t="str">
        <x:v>学生能以证据矩阵和清晰因果链反驳不当推诿。</x:v>
      </x:c>
      <x:c r="E42" s="46" t="str">
        <x:v>学生识别两个局面，并在适用条件下执行至少一条核心策略，AI 对手作出可验证回应。</x:v>
      </x:c>
      <x:c r="F42" s="46" t="str">
        <x:v>是</x:v>
      </x:c>
      <x:c r="G42" s="46" t="str">
        <x:v>哪一个判断或行动最直接推动了本轮结果？如何迁移到下一关？</x:v>
      </x:c>
      <x:c r="H42" s="46" t="str">
        <x:v>按课程路线进入下一小节。</x:v>
      </x:c>
      <x:c r="I42" s="50" t="str">
        <x:f>IF(AND(A42&lt;&gt;"",B42&lt;&gt;"",D42&lt;&gt;"",E42&lt;&gt;"",G42&lt;&gt;""),"完整","请补充")</x:f>
        <x:v>完整</x:v>
      </x:c>
    </x:row>
    <x:row r="43" ht="70" customHeight="1">
      <x:c r="A43" s="46" t="str">
        <x:v>CASE-019</x:v>
      </x:c>
      <x:c r="B43" s="46" t="str">
        <x:v>O2</x:v>
      </x:c>
      <x:c r="C43" s="46" t="str">
        <x:v>风险控制</x:v>
      </x:c>
      <x:c r="D43" s="46" t="str">
        <x:v>关键风险未被控制：只重复证书结论无法解决争点。</x:v>
      </x:c>
      <x:c r="E43" s="46" t="str">
        <x:v>学生忽略关键条件，或使用了表中“不建议的做法”，且在脚手架后仍未修正。</x:v>
      </x:c>
      <x:c r="F43" s="46" t="str">
        <x:v>否</x:v>
      </x:c>
      <x:c r="G43" s="46" t="str">
        <x:v>若只能重做一个决策，你会先补充哪项证据、条件或行动？</x:v>
      </x:c>
      <x:c r="H43" s="46" t="str">
        <x:v>重练“用证据应对卖方抗辩”并仅使用一级提示。</x:v>
      </x:c>
      <x:c r="I43" s="50" t="str">
        <x:f>IF(AND(A43&lt;&gt;"",B43&lt;&gt;"",D43&lt;&gt;"",E43&lt;&gt;"",G43&lt;&gt;""),"完整","请补充")</x:f>
        <x:v>完整</x:v>
      </x:c>
    </x:row>
    <x:row r="44" ht="70" customHeight="1">
      <x:c r="A44" s="46" t="str">
        <x:v>CASE-020</x:v>
      </x:c>
      <x:c r="B44" s="46" t="str">
        <x:v>O1</x:v>
      </x:c>
      <x:c r="C44" s="46" t="str">
        <x:v>商务结果</x:v>
      </x:c>
      <x:c r="D44" s="46" t="str">
        <x:v>学生能达成对己方有实质价值、可履行且关系可持续的和解。</x:v>
      </x:c>
      <x:c r="E44" s="46" t="str">
        <x:v>学生识别两个局面，并在适用条件下执行至少一条核心策略，AI 对手作出可验证回应。</x:v>
      </x:c>
      <x:c r="F44" s="46" t="str">
        <x:v>是</x:v>
      </x:c>
      <x:c r="G44" s="46" t="str">
        <x:v>哪一个判断或行动最直接推动了本轮结果？如何迁移到下一关？</x:v>
      </x:c>
      <x:c r="H44" s="46" t="str">
        <x:v>按课程路线进入下一小节。</x:v>
      </x:c>
      <x:c r="I44" s="50" t="str">
        <x:f>IF(AND(A44&lt;&gt;"",B44&lt;&gt;"",D44&lt;&gt;"",E44&lt;&gt;"",G44&lt;&gt;""),"完整","请补充")</x:f>
        <x:v>完整</x:v>
      </x:c>
    </x:row>
    <x:row r="45" ht="70" customHeight="1">
      <x:c r="A45" s="46" t="str">
        <x:v>CASE-020</x:v>
      </x:c>
      <x:c r="B45" s="46" t="str">
        <x:v>O2</x:v>
      </x:c>
      <x:c r="C45" s="46" t="str">
        <x:v>风险控制</x:v>
      </x:c>
      <x:c r="D45" s="46" t="str">
        <x:v>关键风险未被控制：过度放弃导致后续隐蔽缺陷无法主张。</x:v>
      </x:c>
      <x:c r="E45" s="46" t="str">
        <x:v>学生忽略关键条件，或使用了表中“不建议的做法”，且在脚手架后仍未修正。</x:v>
      </x:c>
      <x:c r="F45" s="46" t="str">
        <x:v>否</x:v>
      </x:c>
      <x:c r="G45" s="46" t="str">
        <x:v>若只能重做一个决策，你会先补充哪项证据、条件或行动？</x:v>
      </x:c>
      <x:c r="H45" s="46" t="str">
        <x:v>重练“谈成可执行的理赔和解”并仅使用一级提示。</x:v>
      </x:c>
      <x:c r="I45" s="50" t="str">
        <x:f>IF(AND(A45&lt;&gt;"",B45&lt;&gt;"",D45&lt;&gt;"",E45&lt;&gt;"",G45&lt;&gt;""),"完整","请补充")</x:f>
        <x:v>完整</x:v>
      </x:c>
    </x:row>
  </x:sheetData>
  <x:mergeCells>
    <x:mergeCell ref="A1:I1"/>
    <x:mergeCell ref="A2:I2"/>
    <x:mergeCell ref="A3:I3"/>
  </x:mergeCells>
  <x:conditionalFormatting sqref="I6:I45">
    <x:cfRule type="containsText" dxfId="12" priority="1" operator="containsText" text="请补充"/>
    <x:cfRule type="containsText" dxfId="13" priority="2" operator="containsText" text="完整"/>
  </x:conditionalFormatting>
  <x:dataValidations count="2">
    <x:dataValidation type="list" sqref="C6:C45">
      <x:formula1>"商务结果,风险控制,关系维护,沟通结果"</x:formula1>
    </x:dataValidation>
    <x:dataValidation type="list" sqref="F6:F45">
      <x:formula1>"是,否"</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6" hidden="0" customWidth="1"/>
    <x:col min="2" max="2" width="20" hidden="0" customWidth="1"/>
    <x:col min="3" max="3" width="62" hidden="0" customWidth="1"/>
  </x:cols>
  <x:sheetData>
    <x:row r="1" ht="34" customHeight="1">
      <x:c r="A1" s="3" t="str">
        <x:v>08｜提交前导入检查</x:v>
      </x:c>
      <x:c r="B1" s="3"/>
      <x:c r="C1" s="3"/>
    </x:row>
    <x:row r="2" ht="30" customHeight="1">
      <x:c r="A2" s="52" t="str">
        <x:v>这里用教师语言汇总阻断项。正式系统还会检查编号重复、跨表引用、模板版本与文件安全。</x:v>
      </x:c>
      <x:c r="B2" s="52"/>
      <x:c r="C2" s="52"/>
    </x:row>
    <x:row r="3" ht="28" customHeight="1">
      <x:c r="A3" s="54" t="str">
        <x:v>完整测试资产应显示 20 个案例、所有缺项为 0、每个案例量规权重为 100%。</x:v>
      </x:c>
      <x:c r="B3" s="54"/>
      <x:c r="C3" s="54"/>
    </x:row>
    <x:row r="4">
      <x:c r="A4" s="1"/>
      <x:c r="B4" s="1"/>
      <x:c r="C4" s="1"/>
    </x:row>
    <x:row r="5">
      <x:c r="A5" s="20" t="str">
        <x:v>检查项目</x:v>
      </x:c>
      <x:c r="B5" s="20" t="str">
        <x:v>结果</x:v>
      </x:c>
      <x:c r="C5" s="20" t="str">
        <x:v>说明</x:v>
      </x:c>
    </x:row>
    <x:row r="6" ht="28" customHeight="1">
      <x:c r="A6" s="56" t="str">
        <x:v>案例数量</x:v>
      </x:c>
      <x:c r="B6" s="59" t="n">
        <x:f>COUNTA('01_案例总表'!A6:A25)</x:f>
        <x:v>20</x:v>
      </x:c>
      <x:c r="C6" s="56" t="str">
        <x:v>应精确覆盖现有 20 个课程小节。</x:v>
      </x:c>
    </x:row>
    <x:row r="7" ht="28" customHeight="1">
      <x:c r="A7" s="56" t="str">
        <x:v>案例表缺项</x:v>
      </x:c>
      <x:c r="B7" s="59" t="n">
        <x:f>COUNTIF('01_案例总表'!N6:N25,"请补充")</x:f>
        <x:v>0</x:v>
      </x:c>
      <x:c r="C7" s="56" t="str">
        <x:v>必填角色、背景、任务、约束或成果缺失。</x:v>
      </x:c>
    </x:row>
    <x:row r="8" ht="28" customHeight="1">
      <x:c r="A8" s="56" t="str">
        <x:v>关键局面缺项</x:v>
      </x:c>
      <x:c r="B8" s="59" t="n">
        <x:f>COUNTIF('02_关键局面'!I6:I45,"请补充")</x:f>
        <x:v>0</x:v>
      </x:c>
      <x:c r="C8" s="56" t="str">
        <x:v>可观察线索、教师判断或业务后果缺失。</x:v>
      </x:c>
    </x:row>
    <x:row r="9" ht="28" customHeight="1">
      <x:c r="A9" s="56" t="str">
        <x:v>应对策略缺项</x:v>
      </x:c>
      <x:c r="B9" s="59" t="n">
        <x:f>COUNTIF('03_应对策略'!K6:K85,"请补充")</x:f>
        <x:v>0</x:v>
      </x:c>
      <x:c r="C9" s="56" t="str">
        <x:v>策略缺少适用条件、行动或预期影响。</x:v>
      </x:c>
    </x:row>
    <x:row r="10" ht="28" customHeight="1">
      <x:c r="A10" s="56" t="str">
        <x:v>知识与材料缺项</x:v>
      </x:c>
      <x:c r="B10" s="59" t="n">
        <x:f>COUNTIF('04_知识与材料'!K6:K85,"请补充")</x:f>
        <x:v>0</x:v>
      </x:c>
      <x:c r="C10" s="56" t="str">
        <x:v>知识没有解释其如何服务学生行动。</x:v>
      </x:c>
    </x:row>
    <x:row r="11" ht="28" customHeight="1">
      <x:c r="A11" s="56" t="str">
        <x:v>分级提示缺项</x:v>
      </x:c>
      <x:c r="B11" s="59" t="n">
        <x:f>COUNTIF('05_分级提示'!J6:J85,"请补充")</x:f>
        <x:v>0</x:v>
      </x:c>
      <x:c r="C11" s="56" t="str">
        <x:v>提示缺少触发或撤除条件。</x:v>
      </x:c>
    </x:row>
    <x:row r="12" ht="28" customHeight="1">
      <x:c r="A12" s="56" t="str">
        <x:v>评价量规缺项</x:v>
      </x:c>
      <x:c r="B12" s="59" t="n">
        <x:f>COUNTIF('06_评价量规'!J6:J65,"请补充")</x:f>
        <x:v>0</x:v>
      </x:c>
      <x:c r="C12" s="56" t="str">
        <x:v>评价维度缺少等级描述或证据要求。</x:v>
      </x:c>
    </x:row>
    <x:row r="13" ht="28" customHeight="1">
      <x:c r="A13" s="56" t="str">
        <x:v>结果与复盘缺项</x:v>
      </x:c>
      <x:c r="B13" s="59" t="n">
        <x:f>COUNTIF('07_结果与复盘'!I6:I45,"请补充")</x:f>
        <x:v>0</x:v>
      </x:c>
      <x:c r="C13" s="56" t="str">
        <x:v>结果缺少出现条件或复盘问题。</x:v>
      </x:c>
    </x:row>
    <x:row r="14">
      <x:c r="A14" s="1"/>
      <x:c r="B14" s="1"/>
      <x:c r="C14" s="1"/>
    </x:row>
    <x:row r="15">
      <x:c r="A15" s="20" t="str">
        <x:v>案例编号</x:v>
      </x:c>
      <x:c r="B15" s="20" t="str">
        <x:v>量规权重合计</x:v>
      </x:c>
      <x:c r="C15" s="20" t="str">
        <x:v>检查结论</x:v>
      </x:c>
    </x:row>
    <x:row r="16" ht="23" customHeight="1">
      <x:c r="A16" s="61" t="str">
        <x:v>CASE-001</x:v>
      </x:c>
      <x:c r="B16" s="62" t="n">
        <x:f>SUMIF('06_评价量规'!$A$6:$A$65,A16,'06_评价量规'!$C$6:$C$65)</x:f>
        <x:v>100</x:v>
      </x:c>
      <x:c r="C16" s="62" t="str">
        <x:f>IF(B16=100,"通过","需调整")</x:f>
        <x:v>通过</x:v>
      </x:c>
    </x:row>
    <x:row r="17" ht="23" customHeight="1">
      <x:c r="A17" s="61" t="str">
        <x:v>CASE-002</x:v>
      </x:c>
      <x:c r="B17" s="62" t="n">
        <x:f>SUMIF('06_评价量规'!$A$6:$A$65,A17,'06_评价量规'!$C$6:$C$65)</x:f>
        <x:v>100</x:v>
      </x:c>
      <x:c r="C17" s="62" t="str">
        <x:f>IF(B17=100,"通过","需调整")</x:f>
        <x:v>通过</x:v>
      </x:c>
    </x:row>
    <x:row r="18" ht="23" customHeight="1">
      <x:c r="A18" s="61" t="str">
        <x:v>CASE-003</x:v>
      </x:c>
      <x:c r="B18" s="62" t="n">
        <x:f>SUMIF('06_评价量规'!$A$6:$A$65,A18,'06_评价量规'!$C$6:$C$65)</x:f>
        <x:v>100</x:v>
      </x:c>
      <x:c r="C18" s="62" t="str">
        <x:f>IF(B18=100,"通过","需调整")</x:f>
        <x:v>通过</x:v>
      </x:c>
    </x:row>
    <x:row r="19" ht="23" customHeight="1">
      <x:c r="A19" s="61" t="str">
        <x:v>CASE-004</x:v>
      </x:c>
      <x:c r="B19" s="62" t="n">
        <x:f>SUMIF('06_评价量规'!$A$6:$A$65,A19,'06_评价量规'!$C$6:$C$65)</x:f>
        <x:v>100</x:v>
      </x:c>
      <x:c r="C19" s="62" t="str">
        <x:f>IF(B19=100,"通过","需调整")</x:f>
        <x:v>通过</x:v>
      </x:c>
    </x:row>
    <x:row r="20" ht="23" customHeight="1">
      <x:c r="A20" s="61" t="str">
        <x:v>CASE-005</x:v>
      </x:c>
      <x:c r="B20" s="62" t="n">
        <x:f>SUMIF('06_评价量规'!$A$6:$A$65,A20,'06_评价量规'!$C$6:$C$65)</x:f>
        <x:v>100</x:v>
      </x:c>
      <x:c r="C20" s="62" t="str">
        <x:f>IF(B20=100,"通过","需调整")</x:f>
        <x:v>通过</x:v>
      </x:c>
    </x:row>
    <x:row r="21" ht="23" customHeight="1">
      <x:c r="A21" s="61" t="str">
        <x:v>CASE-006</x:v>
      </x:c>
      <x:c r="B21" s="62" t="n">
        <x:f>SUMIF('06_评价量规'!$A$6:$A$65,A21,'06_评价量规'!$C$6:$C$65)</x:f>
        <x:v>100</x:v>
      </x:c>
      <x:c r="C21" s="62" t="str">
        <x:f>IF(B21=100,"通过","需调整")</x:f>
        <x:v>通过</x:v>
      </x:c>
    </x:row>
    <x:row r="22" ht="23" customHeight="1">
      <x:c r="A22" s="61" t="str">
        <x:v>CASE-007</x:v>
      </x:c>
      <x:c r="B22" s="62" t="n">
        <x:f>SUMIF('06_评价量规'!$A$6:$A$65,A22,'06_评价量规'!$C$6:$C$65)</x:f>
        <x:v>100</x:v>
      </x:c>
      <x:c r="C22" s="62" t="str">
        <x:f>IF(B22=100,"通过","需调整")</x:f>
        <x:v>通过</x:v>
      </x:c>
    </x:row>
    <x:row r="23" ht="23" customHeight="1">
      <x:c r="A23" s="61" t="str">
        <x:v>CASE-008</x:v>
      </x:c>
      <x:c r="B23" s="62" t="n">
        <x:f>SUMIF('06_评价量规'!$A$6:$A$65,A23,'06_评价量规'!$C$6:$C$65)</x:f>
        <x:v>100</x:v>
      </x:c>
      <x:c r="C23" s="62" t="str">
        <x:f>IF(B23=100,"通过","需调整")</x:f>
        <x:v>通过</x:v>
      </x:c>
    </x:row>
    <x:row r="24" ht="23" customHeight="1">
      <x:c r="A24" s="61" t="str">
        <x:v>CASE-009</x:v>
      </x:c>
      <x:c r="B24" s="62" t="n">
        <x:f>SUMIF('06_评价量规'!$A$6:$A$65,A24,'06_评价量规'!$C$6:$C$65)</x:f>
        <x:v>100</x:v>
      </x:c>
      <x:c r="C24" s="62" t="str">
        <x:f>IF(B24=100,"通过","需调整")</x:f>
        <x:v>通过</x:v>
      </x:c>
    </x:row>
    <x:row r="25" ht="23" customHeight="1">
      <x:c r="A25" s="61" t="str">
        <x:v>CASE-010</x:v>
      </x:c>
      <x:c r="B25" s="62" t="n">
        <x:f>SUMIF('06_评价量规'!$A$6:$A$65,A25,'06_评价量规'!$C$6:$C$65)</x:f>
        <x:v>100</x:v>
      </x:c>
      <x:c r="C25" s="62" t="str">
        <x:f>IF(B25=100,"通过","需调整")</x:f>
        <x:v>通过</x:v>
      </x:c>
    </x:row>
    <x:row r="26" ht="23" customHeight="1">
      <x:c r="A26" s="61" t="str">
        <x:v>CASE-011</x:v>
      </x:c>
      <x:c r="B26" s="62" t="n">
        <x:f>SUMIF('06_评价量规'!$A$6:$A$65,A26,'06_评价量规'!$C$6:$C$65)</x:f>
        <x:v>100</x:v>
      </x:c>
      <x:c r="C26" s="62" t="str">
        <x:f>IF(B26=100,"通过","需调整")</x:f>
        <x:v>通过</x:v>
      </x:c>
    </x:row>
    <x:row r="27" ht="23" customHeight="1">
      <x:c r="A27" s="61" t="str">
        <x:v>CASE-012</x:v>
      </x:c>
      <x:c r="B27" s="62" t="n">
        <x:f>SUMIF('06_评价量规'!$A$6:$A$65,A27,'06_评价量规'!$C$6:$C$65)</x:f>
        <x:v>100</x:v>
      </x:c>
      <x:c r="C27" s="62" t="str">
        <x:f>IF(B27=100,"通过","需调整")</x:f>
        <x:v>通过</x:v>
      </x:c>
    </x:row>
    <x:row r="28" ht="23" customHeight="1">
      <x:c r="A28" s="61" t="str">
        <x:v>CASE-013</x:v>
      </x:c>
      <x:c r="B28" s="62" t="n">
        <x:f>SUMIF('06_评价量规'!$A$6:$A$65,A28,'06_评价量规'!$C$6:$C$65)</x:f>
        <x:v>100</x:v>
      </x:c>
      <x:c r="C28" s="62" t="str">
        <x:f>IF(B28=100,"通过","需调整")</x:f>
        <x:v>通过</x:v>
      </x:c>
    </x:row>
    <x:row r="29" ht="23" customHeight="1">
      <x:c r="A29" s="61" t="str">
        <x:v>CASE-014</x:v>
      </x:c>
      <x:c r="B29" s="62" t="n">
        <x:f>SUMIF('06_评价量规'!$A$6:$A$65,A29,'06_评价量规'!$C$6:$C$65)</x:f>
        <x:v>100</x:v>
      </x:c>
      <x:c r="C29" s="62" t="str">
        <x:f>IF(B29=100,"通过","需调整")</x:f>
        <x:v>通过</x:v>
      </x:c>
    </x:row>
    <x:row r="30" ht="23" customHeight="1">
      <x:c r="A30" s="61" t="str">
        <x:v>CASE-015</x:v>
      </x:c>
      <x:c r="B30" s="62" t="n">
        <x:f>SUMIF('06_评价量规'!$A$6:$A$65,A30,'06_评价量规'!$C$6:$C$65)</x:f>
        <x:v>100</x:v>
      </x:c>
      <x:c r="C30" s="62" t="str">
        <x:f>IF(B30=100,"通过","需调整")</x:f>
        <x:v>通过</x:v>
      </x:c>
    </x:row>
    <x:row r="31" ht="23" customHeight="1">
      <x:c r="A31" s="61" t="str">
        <x:v>CASE-016</x:v>
      </x:c>
      <x:c r="B31" s="62" t="n">
        <x:f>SUMIF('06_评价量规'!$A$6:$A$65,A31,'06_评价量规'!$C$6:$C$65)</x:f>
        <x:v>100</x:v>
      </x:c>
      <x:c r="C31" s="62" t="str">
        <x:f>IF(B31=100,"通过","需调整")</x:f>
        <x:v>通过</x:v>
      </x:c>
    </x:row>
    <x:row r="32" ht="23" customHeight="1">
      <x:c r="A32" s="61" t="str">
        <x:v>CASE-017</x:v>
      </x:c>
      <x:c r="B32" s="62" t="n">
        <x:f>SUMIF('06_评价量规'!$A$6:$A$65,A32,'06_评价量规'!$C$6:$C$65)</x:f>
        <x:v>100</x:v>
      </x:c>
      <x:c r="C32" s="62" t="str">
        <x:f>IF(B32=100,"通过","需调整")</x:f>
        <x:v>通过</x:v>
      </x:c>
    </x:row>
    <x:row r="33" ht="23" customHeight="1">
      <x:c r="A33" s="61" t="str">
        <x:v>CASE-018</x:v>
      </x:c>
      <x:c r="B33" s="62" t="n">
        <x:f>SUMIF('06_评价量规'!$A$6:$A$65,A33,'06_评价量规'!$C$6:$C$65)</x:f>
        <x:v>100</x:v>
      </x:c>
      <x:c r="C33" s="62" t="str">
        <x:f>IF(B33=100,"通过","需调整")</x:f>
        <x:v>通过</x:v>
      </x:c>
    </x:row>
    <x:row r="34" ht="23" customHeight="1">
      <x:c r="A34" s="61" t="str">
        <x:v>CASE-019</x:v>
      </x:c>
      <x:c r="B34" s="62" t="n">
        <x:f>SUMIF('06_评价量规'!$A$6:$A$65,A34,'06_评价量规'!$C$6:$C$65)</x:f>
        <x:v>100</x:v>
      </x:c>
      <x:c r="C34" s="62" t="str">
        <x:f>IF(B34=100,"通过","需调整")</x:f>
        <x:v>通过</x:v>
      </x:c>
    </x:row>
    <x:row r="35" ht="23" customHeight="1">
      <x:c r="A35" s="61" t="str">
        <x:v>CASE-020</x:v>
      </x:c>
      <x:c r="B35" s="62" t="n">
        <x:f>SUMIF('06_评价量规'!$A$6:$A$65,A35,'06_评价量规'!$C$6:$C$65)</x:f>
        <x:v>100</x:v>
      </x:c>
      <x:c r="C35" s="62" t="str">
        <x:f>IF(B35=100,"通过","需调整")</x:f>
        <x:v>通过</x:v>
      </x:c>
    </x:row>
    <x:row r="36">
      <x:c r="A36" s="1"/>
      <x:c r="B36" s="1"/>
      <x:c r="C36" s="1"/>
    </x:row>
    <x:row r="37">
      <x:c r="A37" s="1"/>
      <x:c r="B37" s="1"/>
      <x:c r="C37" s="1"/>
    </x:row>
    <x:row r="38" ht="34" customHeight="1">
      <x:c r="A38" s="34" t="str">
        <x:v>提交建议</x:v>
      </x:c>
      <x:c r="B38" s="65" t="str">
        <x:f>IF(AND(B6=20,SUM(B7:B13)=0,COUNTIF(C16:C35,"需调整")=0),"可以提交评审","请先修正阻断项")</x:f>
        <x:v>可以提交评审</x:v>
      </x:c>
      <x:c r="C38" s="65"/>
    </x:row>
    <x:row r="39">
      <x:c r="A39" s="1"/>
      <x:c r="B39" s="1"/>
      <x:c r="C39" s="1"/>
    </x:row>
  </x:sheetData>
  <x:mergeCells>
    <x:mergeCell ref="A1:C1"/>
    <x:mergeCell ref="A2:C2"/>
    <x:mergeCell ref="A3:C3"/>
    <x:mergeCell ref="B38:C38"/>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0" hidden="0" customWidth="1"/>
    <x:col min="2" max="2" width="28" hidden="0" customWidth="1"/>
    <x:col min="3" max="3" width="60" hidden="0" customWidth="1"/>
    <x:col min="4" max="4" width="48" hidden="0" customWidth="1"/>
  </x:cols>
  <x:sheetData>
    <x:row r="1" ht="34" customHeight="1">
      <x:c r="A1" s="3" t="str">
        <x:v>09｜填写参考与选项说明</x:v>
      </x:c>
      <x:c r="B1" s="3"/>
      <x:c r="C1" s="3"/>
      <x:c r="D1" s="3"/>
    </x:row>
    <x:row r="2" ht="28" customHeight="1">
      <x:c r="A2" s="52" t="str">
        <x:v>本页解释下拉选项和常见写法，供教师查阅，不需要修改。</x:v>
      </x:c>
      <x:c r="B2" s="52"/>
      <x:c r="C2" s="52"/>
      <x:c r="D2" s="52"/>
    </x:row>
    <x:row r="3" ht="28" customHeight="1">
      <x:c r="A3" s="54" t="str">
        <x:v>如现有选项无法表达真实教学需要，请在评审意见中提出，由课程组决定是否扩展模板。</x:v>
      </x:c>
      <x:c r="B3" s="54"/>
      <x:c r="C3" s="54"/>
      <x:c r="D3" s="54"/>
    </x:row>
    <x:row r="4">
      <x:c r="A4" s="1"/>
      <x:c r="B4" s="1"/>
      <x:c r="C4" s="1"/>
      <x:c r="D4" s="1"/>
    </x:row>
    <x:row r="5">
      <x:c r="A5" s="20" t="str">
        <x:v>类别</x:v>
      </x:c>
      <x:c r="B5" s="20" t="str">
        <x:v>选项</x:v>
      </x:c>
      <x:c r="C5" s="20" t="str">
        <x:v>教师语言解释</x:v>
      </x:c>
      <x:c r="D5" s="20" t="str">
        <x:v>示例</x:v>
      </x:c>
    </x:row>
    <x:row r="6" ht="42" customHeight="1">
      <x:c r="A6" s="56" t="str">
        <x:v>训练方式</x:v>
      </x:c>
      <x:c r="B6" s="56" t="str">
        <x:v>谈判对话</x:v>
      </x:c>
      <x:c r="C6" s="56" t="str">
        <x:v>多轮互动，学生需根据对手回应动态调整。</x:v>
      </x:c>
      <x:c r="D6" s="56" t="str">
        <x:v>价格还盘、索赔抗辩</x:v>
      </x:c>
    </x:row>
    <x:row r="7" ht="42" customHeight="1">
      <x:c r="A7" s="56" t="str">
        <x:v>训练方式</x:v>
      </x:c>
      <x:c r="B7" s="56" t="str">
        <x:v>商务邮件</x:v>
      </x:c>
      <x:c r="C7" s="56" t="str">
        <x:v>以完整商务函件完成任务，强调体裁与行动清晰。</x:v>
      </x:c>
      <x:c r="D7" s="56" t="str">
        <x:v>询盘、索赔函、装运通知</x:v>
      </x:c>
    </x:row>
    <x:row r="8" ht="42" customHeight="1">
      <x:c r="A8" s="56" t="str">
        <x:v>训练方式</x:v>
      </x:c>
      <x:c r="B8" s="56" t="str">
        <x:v>单证审阅</x:v>
      </x:c>
      <x:c r="C8" s="56" t="str">
        <x:v>审查文本或单证，指出问题并提出修改。</x:v>
      </x:c>
      <x:c r="D8" s="56" t="str">
        <x:v>信用证审核</x:v>
      </x:c>
    </x:row>
    <x:row r="9" ht="42" customHeight="1">
      <x:c r="A9" s="56" t="str">
        <x:v>难度</x:v>
      </x:c>
      <x:c r="B9" s="56" t="str">
        <x:v>基础 / 标准 / 挑战</x:v>
      </x:c>
      <x:c r="C9" s="56" t="str">
        <x:v>根据决策复杂度、信息不完整度和对手强度选择。</x:v>
      </x:c>
      <x:c r="D9" s="56" t="str">
        <x:v>首次接触为基础；终局和索赔为挑战</x:v>
      </x:c>
    </x:row>
    <x:row r="10" ht="42" customHeight="1">
      <x:c r="A10" s="56" t="str">
        <x:v>知识类型</x:v>
      </x:c>
      <x:c r="B10" s="56" t="str">
        <x:v>术语 / 规则</x:v>
      </x:c>
      <x:c r="C10" s="56" t="str">
        <x:v>解释专业概念或适用规则，并说明如何支持行动。</x:v>
      </x:c>
      <x:c r="D10" s="56" t="str">
        <x:v>实盘与虚盘；UCP 600</x:v>
      </x:c>
    </x:row>
    <x:row r="11" ht="42" customHeight="1">
      <x:c r="A11" s="56" t="str">
        <x:v>知识类型</x:v>
      </x:c>
      <x:c r="B11" s="56" t="str">
        <x:v>单证 / 业务流程</x:v>
      </x:c>
      <x:c r="C11" s="56" t="str">
        <x:v>提供表单、文件或稳定操作路径。</x:v>
      </x:c>
      <x:c r="D11" s="56" t="str">
        <x:v>信用证审核清单；改证流程</x:v>
      </x:c>
    </x:row>
    <x:row r="12" ht="42" customHeight="1">
      <x:c r="A12" s="56" t="str">
        <x:v>知识类型</x:v>
      </x:c>
      <x:c r="B12" s="56" t="str">
        <x:v>语言表达 / 产品与市场</x:v>
      </x:c>
      <x:c r="C12" s="56" t="str">
        <x:v>支持外语输出或提供产品市场判断依据。</x:v>
      </x:c>
      <x:c r="D12" s="56" t="str">
        <x:v>条件交换句型；运输风险</x:v>
      </x:c>
    </x:row>
    <x:row r="13" ht="42" customHeight="1">
      <x:c r="A13" s="56" t="str">
        <x:v>提示等级</x:v>
      </x:c>
      <x:c r="B13" s="56" t="str">
        <x:v>1级｜观察线索</x:v>
      </x:c>
      <x:c r="C13" s="56" t="str">
        <x:v>只引导学生注意关键条件，不告诉结论。</x:v>
      </x:c>
      <x:c r="D13" s="56" t="str">
        <x:v>请留意报价中的限定语</x:v>
      </x:c>
    </x:row>
    <x:row r="14" ht="42" customHeight="1">
      <x:c r="A14" s="56" t="str">
        <x:v>提示等级</x:v>
      </x:c>
      <x:c r="B14" s="56" t="str">
        <x:v>2级｜策略提示</x:v>
      </x:c>
      <x:c r="C14" s="56" t="str">
        <x:v>指出可考虑的行动框架，但不代写完整回答。</x:v>
      </x:c>
      <x:c r="D14" s="56" t="str">
        <x:v>先复述影响，再提出明确请求</x:v>
      </x:c>
    </x:row>
    <x:row r="15" ht="42" customHeight="1">
      <x:c r="A15" s="56" t="str">
        <x:v>提示等级</x:v>
      </x:c>
      <x:c r="B15" s="56" t="str">
        <x:v>3级｜表达句框</x:v>
      </x:c>
      <x:c r="C15" s="56" t="str">
        <x:v>学生知道策略但无法表达时才提供可填空句框。</x:v>
      </x:c>
      <x:c r="D15" s="56" t="str">
        <x:v>Please issue a firm offer valid until ___</x:v>
      </x:c>
    </x:row>
    <x:row r="16" ht="42" customHeight="1">
      <x:c r="A16" s="56" t="str">
        <x:v>展示时机</x:v>
      </x:c>
      <x:c r="B16" s="56" t="str">
        <x:v>训练前 / 需要时 / 训练后</x:v>
      </x:c>
      <x:c r="C16" s="56" t="str">
        <x:v>分别用于预备、动态脚手架与复盘迁移。</x:v>
      </x:c>
      <x:c r="D16" s="56" t="str">
        <x:v>规则训练前；策略需要时；拓展训练后</x:v>
      </x:c>
    </x:row>
  </x:sheetData>
  <x:mergeCells>
    <x:mergeCell ref="A1:D1"/>
    <x:mergeCell ref="A2:D2"/>
    <x:mergeCell ref="A3:D3"/>
  </x:mergeCells>
  <x:pageMargins left="0.7" right="0.7" top="0.75" bottom="0.75" header="0.3" footer="0.3"/>
</x:worksheet>
</file>