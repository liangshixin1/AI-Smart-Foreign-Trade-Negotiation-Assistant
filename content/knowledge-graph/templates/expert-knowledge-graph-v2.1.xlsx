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d023a4df6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aeac1a3e35ac4145"/>
    <x:sheet xmlns:r="http://schemas.openxmlformats.org/officeDocument/2006/relationships" name="Scenarios" sheetId="2" r:id="R01104053a1c54504"/>
    <x:sheet xmlns:r="http://schemas.openxmlformats.org/officeDocument/2006/relationships" name="Phenomena" sheetId="3" r:id="R5666d85dcc954415"/>
    <x:sheet xmlns:r="http://schemas.openxmlformats.org/officeDocument/2006/relationships" name="KnowledgeResources" sheetId="4" r:id="Rc852feab4f5a495b"/>
    <x:sheet xmlns:r="http://schemas.openxmlformats.org/officeDocument/2006/relationships" name="NegotiationStrategies" sheetId="5" r:id="R3c332654328241c8"/>
    <x:sheet xmlns:r="http://schemas.openxmlformats.org/officeDocument/2006/relationships" name="GraphRelations(Edges)" sheetId="6" r:id="R1da0fc9d184340b3"/>
    <x:sheet xmlns:r="http://schemas.openxmlformats.org/officeDocument/2006/relationships" name="Scaffolds" sheetId="7" r:id="Raaa72498ea314c69"/>
    <x:sheet xmlns:r="http://schemas.openxmlformats.org/officeDocument/2006/relationships" name="Rubrics" sheetId="8" r:id="R45c5bfa396fc4267"/>
    <x:sheet xmlns:r="http://schemas.openxmlformats.org/officeDocument/2006/relationships" name="Outcomes" sheetId="9" r:id="R194f0298ef904001"/>
    <x:sheet xmlns:r="http://schemas.openxmlformats.org/officeDocument/2006/relationships" name="LearningContent" sheetId="10" r:id="R49ae0df5a1f34e54"/>
    <x:sheet xmlns:r="http://schemas.openxmlformats.org/officeDocument/2006/relationships" name="Expert_Guide_ZH" sheetId="11" r:id="R13f50f5a28a84bcb"/>
    <x:sheet xmlns:r="http://schemas.openxmlformats.org/officeDocument/2006/relationships" name="Expert_Master_Graph_ZH" sheetId="12" r:id="R2f407b0ca8324711"/>
    <x:sheet xmlns:r="http://schemas.openxmlformats.org/officeDocument/2006/relationships" name="Expert_Knowledge_Index_ZH" sheetId="13" r:id="Re6a4ff4e897a4c7b"/>
    <x:sheet xmlns:r="http://schemas.openxmlformats.org/officeDocument/2006/relationships" name="Expert_Coverage_ZH" sheetId="14" r:id="R83733b9daada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20312C"/>
      <x:name val="PingFang SC"/>
    </x:font>
    <x:font>
      <x:b/>
      <x:sz val="10"/>
      <x:color rgb="FFFFFFFF"/>
      <x:name val="PingFang SC"/>
    </x:font>
    <x:font>
      <x:b/>
      <x:sz val="18"/>
      <x:color rgb="FFFFFFFF"/>
      <x:name val="PingFang SC"/>
    </x:font>
    <x:font>
      <x:sz val="11"/>
      <x:name val="PingFang SC"/>
    </x:font>
    <x:font>
      <x:b/>
      <x:sz val="11"/>
      <x:color rgb="FFFFFFFF"/>
      <x:name val="PingFang SC"/>
    </x:font>
    <x:font>
      <x:b/>
      <x:sz val="16"/>
      <x:color rgb="FFFFFFFF"/>
      <x:name val="PingFang SC"/>
    </x:font>
  </x:fonts>
  <x:fills count="4">
    <x:fill>
      <x:patternFill patternType="none"/>
    </x:fill>
    <x:fill>
      <x:patternFill patternType="gray125"/>
    </x:fill>
    <x:fill>
      <x:patternFill patternType="solid">
        <x:fgColor rgb="FF174E46"/>
      </x:patternFill>
    </x:fill>
    <x:fill>
      <x:patternFill patternType="solid">
        <x:fgColor rgb="FFEAF2EF"/>
      </x:patternFill>
    </x:fill>
  </x:fills>
  <x:borders count="10">
    <x:border/>
    <x:border>
      <x:right style="thin">
        <x:color rgb="FFDDE5E1"/>
      </x:right>
      <x:bottom style="thin">
        <x:color rgb="FFDDE5E1"/>
      </x:bottom>
    </x:border>
    <x:border>
      <x:left style="thin">
        <x:color rgb="FFDDE5E1"/>
      </x:left>
      <x:right style="thin">
        <x:color rgb="FFDDE5E1"/>
      </x:right>
      <x:bottom style="thin">
        <x:color rgb="FFDDE5E1"/>
      </x:bottom>
    </x:border>
    <x:border>
      <x:left style="thin">
        <x:color rgb="FFDDE5E1"/>
      </x:left>
      <x:bottom style="thin">
        <x:color rgb="FFDDE5E1"/>
      </x:bottom>
    </x:border>
    <x:border>
      <x:right style="thin">
        <x:color rgb="FFDDE5E1"/>
      </x:right>
      <x:top style="thin">
        <x:color rgb="FFDDE5E1"/>
      </x:top>
      <x:bottom style="thin">
        <x:color rgb="FFDDE5E1"/>
      </x:bottom>
    </x:border>
    <x:border>
      <x:left style="thin">
        <x:color rgb="FFDDE5E1"/>
      </x:left>
      <x:right style="thin">
        <x:color rgb="FFDDE5E1"/>
      </x:right>
      <x:top style="thin">
        <x:color rgb="FFDDE5E1"/>
      </x:top>
      <x:bottom style="thin">
        <x:color rgb="FFDDE5E1"/>
      </x:bottom>
    </x:border>
    <x:border>
      <x:left style="thin">
        <x:color rgb="FFDDE5E1"/>
      </x:left>
      <x:top style="thin">
        <x:color rgb="FFDDE5E1"/>
      </x:top>
      <x:bottom style="thin">
        <x:color rgb="FFDDE5E1"/>
      </x:bottom>
    </x:border>
    <x:border>
      <x:right style="thin">
        <x:color rgb="FFDDE5E1"/>
      </x:right>
      <x:top style="thin">
        <x:color rgb="FFDDE5E1"/>
      </x:top>
    </x:border>
    <x:border>
      <x:left style="thin">
        <x:color rgb="FFDDE5E1"/>
      </x:left>
      <x:right style="thin">
        <x:color rgb="FFDDE5E1"/>
      </x:right>
      <x:top style="thin">
        <x:color rgb="FFDDE5E1"/>
      </x:top>
    </x:border>
    <x:border>
      <x:left style="thin">
        <x:color rgb="FFDDE5E1"/>
      </x:left>
      <x:top style="thin">
        <x:color rgb="FFDDE5E1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200" fontId="4" fillId="0" borderId="5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6ed45d97e4a2e" /><Relationship Type="http://schemas.openxmlformats.org/officeDocument/2006/relationships/theme" Target="/xl/theme/theme1.xml" Id="R4da3cb45bdec4836" /><Relationship Type="http://schemas.openxmlformats.org/officeDocument/2006/relationships/sharedStrings" Target="/xl/sharedStrings.xml" Id="Rc0e113a5a0ab4aff" /><Relationship Type="http://schemas.openxmlformats.org/officeDocument/2006/relationships/worksheet" Target="/xl/worksheets/sheet1.xml" Id="Raeac1a3e35ac4145" /><Relationship Type="http://schemas.openxmlformats.org/officeDocument/2006/relationships/worksheet" Target="/xl/worksheets/sheet2.xml" Id="R01104053a1c54504" /><Relationship Type="http://schemas.openxmlformats.org/officeDocument/2006/relationships/worksheet" Target="/xl/worksheets/sheet3.xml" Id="R5666d85dcc954415" /><Relationship Type="http://schemas.openxmlformats.org/officeDocument/2006/relationships/worksheet" Target="/xl/worksheets/sheet4.xml" Id="Rc852feab4f5a495b" /><Relationship Type="http://schemas.openxmlformats.org/officeDocument/2006/relationships/worksheet" Target="/xl/worksheets/sheet5.xml" Id="R3c332654328241c8" /><Relationship Type="http://schemas.openxmlformats.org/officeDocument/2006/relationships/worksheet" Target="/xl/worksheets/sheet6.xml" Id="R1da0fc9d184340b3" /><Relationship Type="http://schemas.openxmlformats.org/officeDocument/2006/relationships/worksheet" Target="/xl/worksheets/sheet7.xml" Id="Raaa72498ea314c69" /><Relationship Type="http://schemas.openxmlformats.org/officeDocument/2006/relationships/worksheet" Target="/xl/worksheets/sheet8.xml" Id="R45c5bfa396fc4267" /><Relationship Type="http://schemas.openxmlformats.org/officeDocument/2006/relationships/worksheet" Target="/xl/worksheets/sheet9.xml" Id="R194f0298ef904001" /><Relationship Type="http://schemas.openxmlformats.org/officeDocument/2006/relationships/worksheet" Target="/xl/worksheets/sheet10.xml" Id="R49ae0df5a1f34e54" /><Relationship Type="http://schemas.openxmlformats.org/officeDocument/2006/relationships/worksheet" Target="/xl/worksheets/sheet11.xml" Id="R13f50f5a28a84bcb" /><Relationship Type="http://schemas.openxmlformats.org/officeDocument/2006/relationships/worksheet" Target="/xl/worksheets/sheet12.xml" Id="R2f407b0ca8324711" /><Relationship Type="http://schemas.openxmlformats.org/officeDocument/2006/relationships/worksheet" Target="/xl/worksheets/sheet13.xml" Id="Re6a4ff4e897a4c7b" /><Relationship Type="http://schemas.openxmlformats.org/officeDocument/2006/relationships/worksheet" Target="/xl/worksheets/sheet14.xml" Id="R83733b9daada4f1b" /></Relationships>
</file>

<file path=xl/tables/table1.xml><?xml version="1.0" encoding="utf-8"?>
<x:table xmlns:x="http://schemas.openxmlformats.org/spreadsheetml/2006/main" id="1" name="StagesTable" displayName="StagesTable" ref="A1:I10" headerRowCount="1" totalsRowCount="0" totalsRowShown="0">
  <x:tableColumns count="9">
    <x:tableColumn id="1" name="StageID"/>
    <x:tableColumn id="2" name="Sequence"/>
    <x:tableColumn id="3" name="StageNameZH"/>
    <x:tableColumn id="4" name="StageNameEN"/>
    <x:tableColumn id="5" name="ShortNameZH"/>
    <x:tableColumn id="6" name="DescriptionZH"/>
    <x:tableColumn id="7" name="DescriptionEN"/>
    <x:tableColumn id="8" name="OBETeachingOutcomeZH"/>
    <x:tableColumn id="9" name="OBETeachingOutcome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sTable" displayName="ScenariosTable" ref="A1:M21" headerRowCount="1" totalsRowCount="0" totalsRowShown="0">
  <x:tableColumns count="13">
    <x:tableColumn id="1" name="ScenarioID"/>
    <x:tableColumn id="2" name="StageID"/>
    <x:tableColumn id="3" name="ScenarioName"/>
    <x:tableColumn id="4" name="Background_KeyConstraints"/>
    <x:tableColumn id="5" name="CourseUnit"/>
    <x:tableColumn id="6" name="TrainingMode"/>
    <x:tableColumn id="7" name="StudentRole"/>
    <x:tableColumn id="8" name="CounterpartyRole"/>
    <x:tableColumn id="9" name="StudentTask"/>
    <x:tableColumn id="10" name="CoreOutcome"/>
    <x:tableColumn id="11" name="EstimatedMinutes"/>
    <x:tableColumn id="12" name="Difficulty"/>
    <x:tableColumn id="13" name="ShortNameZ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enomenaTable" displayName="PhenomenaTable" ref="A1:I67" headerRowCount="1" totalsRowCount="0" totalsRowShown="0">
  <x:tableColumns count="9">
    <x:tableColumn id="1" name="PhenomenonID"/>
    <x:tableColumn id="2" name="StageID"/>
    <x:tableColumn id="3" name="PhenomenonNameZH"/>
    <x:tableColumn id="4" name="PhenomenonNameEN"/>
    <x:tableColumn id="5" name="DescriptionZH"/>
    <x:tableColumn id="6" name="DescriptionEN"/>
    <x:tableColumn id="7" name="Risk"/>
    <x:tableColumn id="8" name="Frequency"/>
    <x:tableColumn id="9" name="ShortNameZ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nowledgeResourcesTable" displayName="KnowledgeResourcesTable" ref="A1:J95" headerRowCount="1" totalsRowCount="0" totalsRowShown="0">
  <x:tableColumns count="10">
    <x:tableColumn id="1" name="ResourceID"/>
    <x:tableColumn id="2" name="Category"/>
    <x:tableColumn id="3" name="ResourceNameZH"/>
    <x:tableColumn id="4" name="ResourceNameEN"/>
    <x:tableColumn id="5" name="DefinitionZH"/>
    <x:tableColumn id="6" name="DefinitionEN"/>
    <x:tableColumn id="7" name="HomeStageID"/>
    <x:tableColumn id="8" name="LearningRequirement"/>
    <x:tableColumn id="9" name="DisplayTiming"/>
    <x:tableColumn id="10" name="ShortNameZ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gotiationStrategiesTable" displayName="NegotiationStrategiesTable" ref="A1:M25" headerRowCount="1" totalsRowCount="0" totalsRowShown="0">
  <x:tableColumns count="13">
    <x:tableColumn id="1" name="StrategyID"/>
    <x:tableColumn id="2" name="StrategyNameZH"/>
    <x:tableColumn id="3" name="StrategyNameEN"/>
    <x:tableColumn id="4" name="DefinitionZH"/>
    <x:tableColumn id="5" name="DefinitionEN"/>
    <x:tableColumn id="6" name="HomeStageID"/>
    <x:tableColumn id="7" name="ApplicableConditions"/>
    <x:tableColumn id="8" name="RecommendedActions"/>
    <x:tableColumn id="9" name="RelatedPhenomenonIDs"/>
    <x:tableColumn id="10" name="ExampleExpression"/>
    <x:tableColumn id="11" name="DiscouragedActions"/>
    <x:tableColumn id="12" name="ExpectedImpact"/>
    <x:tableColumn id="13" name="ShortNameZ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aphRelationsTable" displayName="GraphRelationsTable" ref="A1:E299" headerRowCount="1" totalsRowCount="0" totalsRowShown="0">
  <x:tableColumns count="5">
    <x:tableColumn id="1" name="SourceID"/>
    <x:tableColumn id="2" name="RelationType"/>
    <x:tableColumn id="3" name="TargetID"/>
    <x:tableColumn id="4" name="AddressingNoteZH"/>
    <x:tableColumn id="5" name="AddressingNote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affoldsTable" displayName="ScaffoldsTable" ref="A1:H133" headerRowCount="1" totalsRowCount="0" totalsRowShown="0">
  <x:tableColumns count="8">
    <x:tableColumn id="1" name="ScaffoldID"/>
    <x:tableColumn id="2" name="PhenomenonID"/>
    <x:tableColumn id="3" name="Trigger"/>
    <x:tableColumn id="4" name="Level"/>
    <x:tableColumn id="5" name="Format"/>
    <x:tableColumn id="6" name="Content"/>
    <x:tableColumn id="7" name="WithdrawalCondition"/>
    <x:tableColumn id="8" name="MaxUs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bricsTable" displayName="RubricsTable" ref="A1:J61" headerRowCount="1" totalsRowCount="0" totalsRowShown="0">
  <x:tableColumns count="10">
    <x:tableColumn id="1" name="RubricID"/>
    <x:tableColumn id="2" name="ScenarioID"/>
    <x:tableColumn id="3" name="DimensionName"/>
    <x:tableColumn id="4" name="WeightPercent"/>
    <x:tableColumn id="5" name="Focus"/>
    <x:tableColumn id="6" name="BelowStandard"/>
    <x:tableColumn id="7" name="MeetsStandard"/>
    <x:tableColumn id="8" name="Excellent"/>
    <x:tableColumn id="9" name="EvidenceRequired"/>
    <x:tableColumn id="10" name="PerRoun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utcomesTable" displayName="OutcomesTable" ref="A1:H41" headerRowCount="1" totalsRowCount="0" totalsRowShown="0">
  <x:tableColumns count="8">
    <x:tableColumn id="1" name="OutcomeID"/>
    <x:tableColumn id="2" name="ScenarioID"/>
    <x:tableColumn id="3" name="ResultCategory"/>
    <x:tableColumn id="4" name="PossibleOutcome"/>
    <x:tableColumn id="5" name="Condition"/>
    <x:tableColumn id="6" name="Ideal"/>
    <x:tableColumn id="7" name="ReflectionQuestion"/>
    <x:tableColumn id="8" name="NextPracti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earningContentTable" displayName="LearningContentTable" ref="A1:F119" headerRowCount="1" totalsRowCount="0" totalsRowShown="0">
  <x:tableColumns count="6">
    <x:tableColumn id="1" name="NodeID"/>
    <x:tableColumn id="2" name="NodeType"/>
    <x:tableColumn id="3" name="Title"/>
    <x:tableColumn id="4" name="Summary"/>
    <x:tableColumn id="5" name="MarkdownContent"/>
    <x:tableColumn id="6" name="Content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pertMasterGraphTable" displayName="ExpertMasterGraphTable" ref="A1:K299" headerRowCount="1" totalsRowCount="0" totalsRowShown="0">
  <x:tableColumns count="11">
    <x:tableColumn id="1" name="顺序"/>
    <x:tableColumn id="2" name="主题ID"/>
    <x:tableColumn id="3" name="一级主题"/>
    <x:tableColumn id="4" name="现象ID"/>
    <x:tableColumn id="5" name="二级业务现象"/>
    <x:tableColumn id="6" name="风险"/>
    <x:tableColumn id="7" name="知识ID"/>
    <x:tableColumn id="8" name="三级知识或策略"/>
    <x:tableColumn id="9" name="类型"/>
    <x:tableColumn id="10" name="中文作用说明"/>
    <x:tableColumn id="11" name="专家英文原文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pertKnowledgeIndexTable" displayName="ExpertKnowledgeIndexTable" ref="A1:I119" headerRowCount="1" totalsRowCount="0" totalsRowShown="0">
  <x:tableColumns count="9">
    <x:tableColumn id="1" name="知识ID"/>
    <x:tableColumn id="2" name="中文名称"/>
    <x:tableColumn id="3" name="英文名称"/>
    <x:tableColumn id="4" name="类型"/>
    <x:tableColumn id="5" name="归属主题"/>
    <x:tableColumn id="6" name="服务现象数"/>
    <x:tableColumn id="7" name="关联现象ID"/>
    <x:tableColumn id="8" name="关联现象"/>
    <x:tableColumn id="9" name="复用主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db6689d4c049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94b72f165d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6623cc960041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231fbb99f9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c2d391a6654b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f219b5dd1f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a76a4d6d62c41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f6e036dd3849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1d4a7c953448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73cc30e3f4649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ae0da6ab78c49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1a27bf667fd49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8" hidden="0" customWidth="1"/>
    <x:col min="4" max="4" width="22" hidden="0" customWidth="1"/>
    <x:col min="5" max="5" width="14" hidden="0" customWidth="1"/>
    <x:col min="6" max="6" width="45" hidden="0" customWidth="1"/>
    <x:col min="7" max="7" width="52" hidden="0" customWidth="1"/>
    <x:col min="8" max="8" width="45" hidden="0" customWidth="1"/>
    <x:col min="9" max="9" width="52" hidden="0" customWidth="1"/>
  </x:cols>
  <x:sheetData>
    <x:row r="1" ht="30" customHeight="1">
      <x:c r="A1" s="21" t="str">
        <x:v>StageID</x:v>
      </x:c>
      <x:c r="B1" s="22" t="str">
        <x:v>Sequence</x:v>
      </x:c>
      <x:c r="C1" s="22" t="str">
        <x:v>StageNameZH</x:v>
      </x:c>
      <x:c r="D1" s="22" t="str">
        <x:v>StageNameEN</x:v>
      </x:c>
      <x:c r="E1" s="22" t="str">
        <x:v>ShortNameZH</x:v>
      </x:c>
      <x:c r="F1" s="22" t="str">
        <x:v>DescriptionZH</x:v>
      </x:c>
      <x:c r="G1" s="22" t="str">
        <x:v>DescriptionEN</x:v>
      </x:c>
      <x:c r="H1" s="22" t="str">
        <x:v>OBETeachingOutcomeZH</x:v>
      </x:c>
      <x:c r="I1" s="23" t="str">
        <x:v>OBETeachingOutcomeEN</x:v>
      </x:c>
    </x:row>
    <x:row r="2">
      <x:c r="A2" s="24" t="str">
        <x:v>S1</x:v>
      </x:c>
      <x:c r="B2" s="25" t="n">
        <x:v>1</x:v>
      </x:c>
      <x:c r="C2" s="25" t="str">
        <x:v>询盘</x:v>
      </x:c>
      <x:c r="D2" s="25" t="str">
        <x:v>Inquiry</x:v>
      </x:c>
      <x:c r="E2" s="25" t="str">
        <x:v>询盘</x:v>
      </x:c>
      <x:c r="F2" s="25" t="str">
        <x:v>一方就商品、价格、数量和交易条件请求信息。询盘通常属于要约邀请，本身不构成有约束力的发盘。</x:v>
      </x:c>
      <x:c r="G2" s="25" t="str">
        <x:v>A party requests information on goods, prices, quantity, and terms. An inquiry is ordinarily an invitation to treat, not a binding offer.</x:v>
      </x:c>
      <x:c r="H2" s="25" t="str">
        <x:v>识别询盘类型；除非确有缔约意图，否则保持首次接触的非约束性；提取可比较的市场信息。</x:v>
      </x:c>
      <x:c r="I2" s="26" t="str">
        <x:v>Identify inquiry types, keep first contact non-binding unless intended, and extract comparable market intelligence.</x:v>
      </x:c>
    </x:row>
    <x:row r="3">
      <x:c r="A3" s="24" t="str">
        <x:v>S2</x:v>
      </x:c>
      <x:c r="B3" s="25" t="n">
        <x:v>2</x:v>
      </x:c>
      <x:c r="C3" s="25" t="str">
        <x:v>发盘</x:v>
      </x:c>
      <x:c r="D3" s="25" t="str">
        <x:v>Offer</x:v>
      </x:c>
      <x:c r="E3" s="25" t="str">
        <x:v>发盘</x:v>
      </x:c>
      <x:c r="F3" s="25" t="str">
        <x:v>一方向对方提出包含明确主要条款，并表明一经接受即受约束的交易建议；应与一般报价或试探性虚盘区分。</x:v>
      </x:c>
      <x:c r="G3" s="25" t="str">
        <x:v>A proposal containing definite essential terms, made with intent to be bound upon acceptance. Distinguished from a mere quotation or 'fishing' offer.</x:v>
      </x:c>
      <x:c r="H3" s="25" t="str">
        <x:v>起草、定价并设定一项法律上有效的发盘，同时识别不具约束力的报价。</x:v>
      </x:c>
      <x:c r="I3" s="26" t="str">
        <x:v>Draft, price, and time a legally effective offer, and recognise non-binding quotations.</x:v>
      </x:c>
    </x:row>
    <x:row r="4">
      <x:c r="A4" s="24" t="str">
        <x:v>S3</x:v>
      </x:c>
      <x:c r="B4" s="25" t="n">
        <x:v>3</x:v>
      </x:c>
      <x:c r="C4" s="25" t="str">
        <x:v>还盘</x:v>
      </x:c>
      <x:c r="D4" s="25" t="str">
        <x:v>Counter-offer</x:v>
      </x:c>
      <x:c r="E4" s="25" t="str">
        <x:v>还盘</x:v>
      </x:c>
      <x:c r="F4" s="25" t="str">
        <x:v>对发盘主要条款作出变更的答复。它拒绝原发盘并提出新发盘，使承诺权发生转移。</x:v>
      </x:c>
      <x:c r="G4" s="25" t="str">
        <x:v>A reply that varies material terms. It rejects the original offer and substitutes a new one, transferring the power of acceptance.</x:v>
      </x:c>
      <x:c r="H4" s="25" t="str">
        <x:v>运用递进让步和保全面子的表达，在改变条款的同时避免谈判破裂。</x:v>
      </x:c>
      <x:c r="I4" s="26" t="str">
        <x:v>Vary terms without losing the deal, using sequenced concessions and face-saving language.</x:v>
      </x:c>
    </x:row>
    <x:row r="5">
      <x:c r="A5" s="24" t="str">
        <x:v>S4</x:v>
      </x:c>
      <x:c r="B5" s="25" t="n">
        <x:v>4</x:v>
      </x:c>
      <x:c r="C5" s="25" t="str">
        <x:v>接受与订货</x:v>
      </x:c>
      <x:c r="D5" s="25" t="str">
        <x:v>Acceptance &amp; Order</x:v>
      </x:c>
      <x:c r="E5" s="25" t="str">
        <x:v>接受订货</x:v>
      </x:c>
      <x:c r="F5" s="25" t="str">
        <x:v>对发盘作出无条件同意即形成合同，随后以订单记录、确认并启动履约。</x:v>
      </x:c>
      <x:c r="G5" s="25" t="str">
        <x:v>Unconditional assent to an offer forms the contract. The order then records, confirms, and launches performance.</x:v>
      </x:c>
      <x:c r="H5" s="25" t="str">
        <x:v>形成有效合同、确认订单，并控制订单变更、取消和交付日期。</x:v>
      </x:c>
      <x:c r="I5" s="26" t="str">
        <x:v>Form a valid contract, confirm the order, and control changes, cancellations, and delivery dates.</x:v>
      </x:c>
    </x:row>
    <x:row r="6">
      <x:c r="A6" s="24" t="str">
        <x:v>S5</x:v>
      </x:c>
      <x:c r="B6" s="25" t="n">
        <x:v>5</x:v>
      </x:c>
      <x:c r="C6" s="25" t="str">
        <x:v>包装与装运</x:v>
      </x:c>
      <x:c r="D6" s="25" t="str">
        <x:v>Packing &amp; Shipment</x:v>
      </x:c>
      <x:c r="E6" s="25" t="str">
        <x:v>包装装运</x:v>
      </x:c>
      <x:c r="F6" s="25" t="str">
        <x:v>出口货物的实物流转，包括出口包装、唛头、运输方式选择、装箱、订舱、发运和装运通知。</x:v>
      </x:c>
      <x:c r="G6" s="25" t="str">
        <x:v>Physical export: export packing, marks, mode selection, stuffing, booking, dispatch, and shipping advice.</x:v>
      </x:c>
      <x:c r="H6" s="25" t="str">
        <x:v>选择能够保护货物、符合规则并保持运输可追踪的包装和运输路线。</x:v>
      </x:c>
      <x:c r="I6" s="26" t="str">
        <x:v>Choose packing and routing that protect the cargo, meet rules, and keep the shipment visible.</x:v>
      </x:c>
    </x:row>
    <x:row r="7">
      <x:c r="A7" s="24" t="str">
        <x:v>S6</x:v>
      </x:c>
      <x:c r="B7" s="25" t="n">
        <x:v>6</x:v>
      </x:c>
      <x:c r="C7" s="25" t="str">
        <x:v>付款与交付</x:v>
      </x:c>
      <x:c r="D7" s="25" t="str">
        <x:v>Payment &amp; Delivery</x:v>
      </x:c>
      <x:c r="E7" s="25" t="str">
        <x:v>付款交付</x:v>
      </x:c>
      <x:c r="F7" s="25" t="str">
        <x:v>按照约定的付款方式和交付条件结算价款并移交货物。</x:v>
      </x:c>
      <x:c r="G7" s="25" t="str">
        <x:v>Settlement of the price and transfer of goods under the agreed payment method and delivery terms.</x:v>
      </x:c>
      <x:c r="H7" s="25" t="str">
        <x:v>选择并操作付款方式，管理汇率和信用风险，并证明交付符合合同。</x:v>
      </x:c>
      <x:c r="I7" s="26" t="str">
        <x:v>Select and operate payment methods, manage FX and credit risk, and prove conforming delivery.</x:v>
      </x:c>
    </x:row>
    <x:row r="8">
      <x:c r="A8" s="24" t="str">
        <x:v>S7</x:v>
      </x:c>
      <x:c r="B8" s="25" t="n">
        <x:v>7</x:v>
      </x:c>
      <x:c r="C8" s="25" t="str">
        <x:v>商品检验</x:v>
      </x:c>
      <x:c r="D8" s="25" t="str">
        <x:v>Inspection</x:v>
      </x:c>
      <x:c r="E8" s="25" t="str">
        <x:v>商品检验</x:v>
      </x:c>
      <x:c r="F8" s="25" t="str">
        <x:v>在起运地和/或目的地，依据合同或法规对质量、数量、包装及合规性进行独立验证。</x:v>
      </x:c>
      <x:c r="G8" s="25" t="str">
        <x:v>Independent or contractual verification of quality, quantity, packing, and conformity, at origin and/or destination.</x:v>
      </x:c>
      <x:c r="H8" s="25" t="str">
        <x:v>明确检验地点、标准和费用，并妥善解决检验证书或检验结果争议。</x:v>
      </x:c>
      <x:c r="I8" s="26" t="str">
        <x:v>Set inspection place, standard, and cost, and close certificate or result disputes.</x:v>
      </x:c>
    </x:row>
    <x:row r="9">
      <x:c r="A9" s="24" t="str">
        <x:v>S8</x:v>
      </x:c>
      <x:c r="B9" s="25" t="n">
        <x:v>8</x:v>
      </x:c>
      <x:c r="C9" s="25" t="str">
        <x:v>保险与仲裁</x:v>
      </x:c>
      <x:c r="D9" s="25" t="str">
        <x:v>Insurance &amp; Arbitration</x:v>
      </x:c>
      <x:c r="E9" s="25" t="str">
        <x:v>保险仲裁</x:v>
      </x:c>
      <x:c r="F9" s="25" t="str">
        <x:v>通过货物运输保险分配在途风险，并通过仲裁安排争议解决路径。</x:v>
      </x:c>
      <x:c r="G9" s="25" t="str">
        <x:v>Allocation of transit risk through cargo insurance, and allocation of disputes through a private arbitral path.</x:v>
      </x:c>
      <x:c r="H9" s="25" t="str">
        <x:v>使保险范围与 Incoterms 相匹配，处理保险索赔并起草可执行的仲裁条款。</x:v>
      </x:c>
      <x:c r="I9" s="26" t="str">
        <x:v>Match cover to Incoterms, process claims, and draft an enforceable arbitration clause.</x:v>
      </x:c>
    </x:row>
    <x:row r="10">
      <x:c r="A10" s="27" t="str">
        <x:v>S9</x:v>
      </x:c>
      <x:c r="B10" s="28" t="n">
        <x:v>9</x:v>
      </x:c>
      <x:c r="C10" s="28" t="str">
        <x:v>投诉、索赔与和解</x:v>
      </x:c>
      <x:c r="D10" s="28" t="str">
        <x:v>Complaints / Claims / Settlement</x:v>
      </x:c>
      <x:c r="E10" s="28" t="str">
        <x:v>投诉索赔</x:v>
      </x:c>
      <x:c r="F10" s="28" t="str">
        <x:v>履约后的不满表达、针对损失的正式索赔，以及通过协商或裁决实现的争议结案。</x:v>
      </x:c>
      <x:c r="G10" s="28" t="str">
        <x:v>Post-performance dissatisfaction (complaints), formal claims for loss, and negotiated or adjudicated settlement.</x:v>
      </x:c>
      <x:c r="H10" s="28" t="str">
        <x:v>恢复客户关系、在期限内证明损失，并通过谈判、调解或裁决完成结案。</x:v>
      </x:c>
      <x:c r="I10" s="29" t="str">
        <x:v>Recover service, prove loss within time, and close the file by negotiation, mediation, or award.</x:v>
      </x:c>
    </x:row>
  </x:sheetData>
  <x:pageMargins left="0.7" right="0.7" top="0.75" bottom="0.75" header="0.3" footer="0.3"/>
  <x:tableParts count="1">
    <x:tablePart xmlns:r="http://schemas.openxmlformats.org/officeDocument/2006/relationships" r:id="R28db6689d4c049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8" hidden="0" customWidth="1"/>
    <x:col min="4" max="4" width="52" hidden="0" customWidth="1"/>
    <x:col min="5" max="5" width="36" hidden="0" customWidth="1"/>
    <x:col min="6" max="6" width="14" hidden="0" customWidth="1"/>
    <x:col min="7" max="7" width="24" hidden="0" customWidth="1"/>
    <x:col min="8" max="8" width="26" hidden="0" customWidth="1"/>
    <x:col min="9" max="9" width="48" hidden="0" customWidth="1"/>
    <x:col min="10" max="10" width="45" hidden="0" customWidth="1"/>
    <x:col min="11" max="11" width="14" hidden="0" customWidth="1"/>
    <x:col min="12" max="12" width="12" hidden="0" customWidth="1"/>
    <x:col min="13" max="13" width="20" hidden="0" customWidth="1"/>
  </x:cols>
  <x:sheetData>
    <x:row r="1" ht="30" customHeight="1">
      <x:c r="A1" s="21" t="str">
        <x:v>ScenarioID</x:v>
      </x:c>
      <x:c r="B1" s="22" t="str">
        <x:v>StageID</x:v>
      </x:c>
      <x:c r="C1" s="22" t="str">
        <x:v>ScenarioName</x:v>
      </x:c>
      <x:c r="D1" s="22" t="str">
        <x:v>Background_KeyConstraints</x:v>
      </x:c>
      <x:c r="E1" s="22" t="str">
        <x:v>CourseUnit</x:v>
      </x:c>
      <x:c r="F1" s="22" t="str">
        <x:v>TrainingMode</x:v>
      </x:c>
      <x:c r="G1" s="22" t="str">
        <x:v>StudentRole</x:v>
      </x:c>
      <x:c r="H1" s="22" t="str">
        <x:v>CounterpartyRole</x:v>
      </x:c>
      <x:c r="I1" s="22" t="str">
        <x:v>StudentTask</x:v>
      </x:c>
      <x:c r="J1" s="22" t="str">
        <x:v>CoreOutcome</x:v>
      </x:c>
      <x:c r="K1" s="22" t="str">
        <x:v>EstimatedMinutes</x:v>
      </x:c>
      <x:c r="L1" s="22" t="str">
        <x:v>Difficulty</x:v>
      </x:c>
      <x:c r="M1" s="23" t="str">
        <x:v>ShortNameZH</x:v>
      </x:c>
    </x:row>
    <x:row r="2">
      <x:c r="A2" s="24" t="str">
        <x:v>S01</x:v>
      </x:c>
      <x:c r="B2" s="25" t="str">
        <x:v>S1</x:v>
      </x:c>
      <x:c r="C2" s="25" t="str">
        <x:v>Initial Contact and Request for Catalog</x:v>
      </x:c>
      <x:c r="D2" s="25" t="str">
        <x:v>Learn about NovaTech from a trade show directory; first contact; must not exaggerate purchasing commitments or disclose sensitive information; email structure must be complete.</x:v>
      </x:c>
      <x:c r="E2" s="25" t="str">
        <x:v>流程 0 · 绪论｜初次接触：索取目录</x:v>
      </x:c>
      <x:c r="F2" s="25" t="str">
        <x:v>商务邮件</x:v>
      </x:c>
      <x:c r="G2" s="25" t="str">
        <x:v>中国进口商业务助理</x:v>
      </x:c>
      <x:c r="H2" s="25" t="str">
        <x:v>NovaTech 海外业务经理（卖方）</x:v>
      </x:c>
      <x:c r="I2" s="25" t="str">
        <x:v>用规范商务函件说明信息来源、公司需求和合作意愿，明确索取目录、规格与价格资料。</x:v>
      </x:c>
      <x:c r="J2" s="25" t="str">
        <x:v>学生能以可信、礼貌且行动明确的首函开启后续业务沟通。</x:v>
      </x:c>
      <x:c r="K2" s="25" t="n">
        <x:v>20</x:v>
      </x:c>
      <x:c r="L2" s="25" t="str">
        <x:v>基础</x:v>
      </x:c>
      <x:c r="M2" s="26" t="str">
        <x:v>初次接触索取目录</x:v>
      </x:c>
    </x:row>
    <x:row r="3">
      <x:c r="A3" s="24" t="str">
        <x:v>S02</x:v>
      </x:c>
      <x:c r="B3" s="25" t="str">
        <x:v>S1</x:v>
      </x:c>
      <x:c r="C3" s="25" t="str">
        <x:v>Sending a Specific Inquiry</x:v>
      </x:c>
      <x:c r="D3" s="25" t="str">
        <x:v>Target product NT-IM250, plan to trial-order 800 pieces; objective is CIF Shanghai, acceptable sight L/C, but budget ceiling must not be disclosed.</x:v>
      </x:c>
      <x:c r="E3" s="25" t="str">
        <x:v>流程 1 · 询盘｜发出具体询盘</x:v>
      </x:c>
      <x:c r="F3" s="25" t="str">
        <x:v>商务邮件</x:v>
      </x:c>
      <x:c r="G3" s="25" t="str">
        <x:v>中国买方采购经理</x:v>
      </x:c>
      <x:c r="H3" s="25" t="str">
        <x:v>NovaTech 出口销售经理（卖方）</x:v>
      </x:c>
      <x:c r="I3" s="25" t="str">
        <x:v>就品名、规格、数量、CIF 上海价格、付款、交期和报价有效期发出具体询盘。</x:v>
      </x:c>
      <x:c r="J3" s="25" t="str">
        <x:v>学生能提出要素齐全、保留议价空间且足以推动正式报盘的询盘。</x:v>
      </x:c>
      <x:c r="K3" s="25" t="n">
        <x:v>20</x:v>
      </x:c>
      <x:c r="L3" s="25" t="str">
        <x:v>标准</x:v>
      </x:c>
      <x:c r="M3" s="26" t="str">
        <x:v>发出具体询盘</x:v>
      </x:c>
    </x:row>
    <x:row r="4">
      <x:c r="A4" s="24" t="str">
        <x:v>S03</x:v>
      </x:c>
      <x:c r="B4" s="25" t="str">
        <x:v>S1</x:v>
      </x:c>
      <x:c r="C4" s="25" t="str">
        <x:v>Follow-up and Conditional Exploration</x:v>
      </x:c>
      <x:c r="D4" s="25" t="str">
        <x:v>No full quotation received within five working days after the inquiry; internal review in three days; cannot fabricate urgent orders; may only selectively provide trial-order information.</x:v>
      </x:c>
      <x:c r="E4" s="25" t="str">
        <x:v>流程 1 · 询盘｜催询与条件探询</x:v>
      </x:c>
      <x:c r="F4" s="25" t="str">
        <x:v>商务邮件</x:v>
      </x:c>
      <x:c r="G4" s="25" t="str">
        <x:v>中国买方采购经理</x:v>
      </x:c>
      <x:c r="H4" s="25" t="str">
        <x:v>NovaTech 出口销售经理（卖方）</x:v>
      </x:c>
      <x:c r="I4" s="25" t="str">
        <x:v>礼貌催复，选择性提供有助报价的信息，并换取对方发出正式报价的时间承诺。</x:v>
      </x:c>
      <x:c r="J4" s="25" t="str">
        <x:v>学生能控制催复节奏，以信息换信息推动卖方进入正式报盘。</x:v>
      </x:c>
      <x:c r="K4" s="25" t="n">
        <x:v>20</x:v>
      </x:c>
      <x:c r="L4" s="25" t="str">
        <x:v>标准</x:v>
      </x:c>
      <x:c r="M4" s="26" t="str">
        <x:v>催询与条件探询</x:v>
      </x:c>
    </x:row>
    <x:row r="5">
      <x:c r="A5" s="24" t="str">
        <x:v>S04</x:v>
      </x:c>
      <x:c r="B5" s="25" t="str">
        <x:v>S2</x:v>
      </x:c>
      <x:c r="C5" s="25" t="str">
        <x:v>Identifying a Non-Firm Offer and Pushing for a Firm Offer</x:v>
      </x:c>
      <x:c r="D5" s="25" t="str">
        <x:v>Seller quotes USD 290 CIF Shanghai but states 'subject to final confirmation' with no validity period; must not treat it as a locked price.</x:v>
      </x:c>
      <x:c r="E5" s="25" t="str">
        <x:v>流程 2 · 报盘｜应对虚盘</x:v>
      </x:c>
      <x:c r="F5" s="25" t="str">
        <x:v>谈判对话</x:v>
      </x:c>
      <x:c r="G5" s="25" t="str">
        <x:v>中国买方采购经理</x:v>
      </x:c>
      <x:c r="H5" s="25" t="str">
        <x:v>NovaTech 出口总监（卖方）</x:v>
      </x:c>
      <x:c r="I5" s="25" t="str">
        <x:v>识别报价的承诺边界，礼貌要求条件完整、有效期明确的实盘，并初步表达价格保留。</x:v>
      </x:c>
      <x:c r="J5" s="25" t="str">
        <x:v>学生能识别无约束报价并推动对方作出可依赖的正式承诺。</x:v>
      </x:c>
      <x:c r="K5" s="25" t="n">
        <x:v>20</x:v>
      </x:c>
      <x:c r="L5" s="25" t="str">
        <x:v>标准</x:v>
      </x:c>
      <x:c r="M5" s="26" t="str">
        <x:v>识别虚盘并催实盘</x:v>
      </x:c>
    </x:row>
    <x:row r="6">
      <x:c r="A6" s="24" t="str">
        <x:v>S05</x:v>
      </x:c>
      <x:c r="B6" s="25" t="str">
        <x:v>S2</x:v>
      </x:c>
      <x:c r="C6" s="25" t="str">
        <x:v>Reviewing a Firm Offer with Complete Terms</x:v>
      </x:c>
      <x:c r="D6" s="25" t="str">
        <x:v>Firm offer valid for 10 days, covering 800 pieces, USD 290, CIF Shanghai, sight L/C, 45-day shipment; material amendments may constitute a counter-offer.</x:v>
      </x:c>
      <x:c r="E6" s="25" t="str">
        <x:v>流程 2 · 报盘｜接收实盘并理解其约束力</x:v>
      </x:c>
      <x:c r="F6" s="25" t="str">
        <x:v>谈判对话</x:v>
      </x:c>
      <x:c r="G6" s="25" t="str">
        <x:v>中国买方采购经理</x:v>
      </x:c>
      <x:c r="H6" s="25" t="str">
        <x:v>NovaTech 出口总监（卖方）</x:v>
      </x:c>
      <x:c r="I6" s="25" t="str">
        <x:v>准确复核实盘要素和有效期，决定接受或还盘，并在期限内作出不歧义回应。</x:v>
      </x:c>
      <x:c r="J6" s="25" t="str">
        <x:v>学生能把完整实盘转化为准确、及时且法律效果清楚的回应。</x:v>
      </x:c>
      <x:c r="K6" s="25" t="n">
        <x:v>20</x:v>
      </x:c>
      <x:c r="L6" s="25" t="str">
        <x:v>标准</x:v>
      </x:c>
      <x:c r="M6" s="26" t="str">
        <x:v>审核实盘条款</x:v>
      </x:c>
    </x:row>
    <x:row r="7">
      <x:c r="A7" s="24" t="str">
        <x:v>S06</x:v>
      </x:c>
      <x:c r="B7" s="25" t="str">
        <x:v>S3</x:v>
      </x:c>
      <x:c r="C7" s="25" t="str">
        <x:v>Justified Price Counter-Offer</x:v>
      </x:c>
      <x:c r="D7" s="25" t="str">
        <x:v>Seller reduces price from 290 to 285; buyer anchors at 278; must not fabricate competitor prices; may exchange quantity, payment rhythm, and after-sales terms.</x:v>
      </x:c>
      <x:c r="E7" s="25" t="str">
        <x:v>流程 3 · 还盘｜价格还盘攻防</x:v>
      </x:c>
      <x:c r="F7" s="25" t="str">
        <x:v>谈判对话</x:v>
      </x:c>
      <x:c r="G7" s="25" t="str">
        <x:v>中国买方采购经理</x:v>
      </x:c>
      <x:c r="H7" s="25" t="str">
        <x:v>NovaTech 出口总监（卖方）</x:v>
      </x:c>
      <x:c r="I7" s="25" t="str">
        <x:v>提出有证据的价格还盘，管理锚点与让步，并把价格变化同可交换条件绑定。</x:v>
      </x:c>
      <x:c r="J7" s="25" t="str">
        <x:v>学生能用客观标准与条件交换缩小价格差距，而不是无理由压价。</x:v>
      </x:c>
      <x:c r="K7" s="25" t="n">
        <x:v>20</x:v>
      </x:c>
      <x:c r="L7" s="25" t="str">
        <x:v>挑战</x:v>
      </x:c>
      <x:c r="M7" s="26" t="str">
        <x:v>价格还盘攻防</x:v>
      </x:c>
    </x:row>
    <x:row r="8">
      <x:c r="A8" s="24" t="str">
        <x:v>S07</x:v>
      </x:c>
      <x:c r="B8" s="25" t="str">
        <x:v>S3</x:v>
      </x:c>
      <x:c r="C8" s="25" t="str">
        <x:v>Multi-dimensional Negotiation on Payment and Delivery</x:v>
      </x:c>
      <x:c r="D8" s="25" t="str">
        <x:v>Buyer prefers T/T and shorter delivery; seller insists on sight L/C for the first order; seller's earliest shipment is 38 days, buyer's project milestone is 45 days.</x:v>
      </x:c>
      <x:c r="E8" s="25" t="str">
        <x:v>流程 3 · 还盘｜多维度磋商：付款与交期还盘</x:v>
      </x:c>
      <x:c r="F8" s="25" t="str">
        <x:v>谈判对话</x:v>
      </x:c>
      <x:c r="G8" s="25" t="str">
        <x:v>中国买方采购经理</x:v>
      </x:c>
      <x:c r="H8" s="25" t="str">
        <x:v>NovaTech 出口总监（卖方）</x:v>
      </x:c>
      <x:c r="I8" s="25" t="str">
        <x:v>识别双方优先级，围绕付款安全、交期和数量设计可交换的成套方案。</x:v>
      </x:c>
      <x:c r="J8" s="25" t="str">
        <x:v>学生能从立场转向利益，在不同议题间实现有条件交换。</x:v>
      </x:c>
      <x:c r="K8" s="25" t="n">
        <x:v>20</x:v>
      </x:c>
      <x:c r="L8" s="25" t="str">
        <x:v>挑战</x:v>
      </x:c>
      <x:c r="M8" s="26" t="str">
        <x:v>付款与交期磋商</x:v>
      </x:c>
    </x:row>
    <x:row r="9">
      <x:c r="A9" s="24" t="str">
        <x:v>S08</x:v>
      </x:c>
      <x:c r="B9" s="25" t="str">
        <x:v>S3</x:v>
      </x:c>
      <x:c r="C9" s="25" t="str">
        <x:v>Conditional Acceptance and Final Deal</x:v>
      </x:c>
      <x:c r="D9" s="25" t="str">
        <x:v>Seller insists on 285 but offers extended warranty, spare parts, and priority production scheduling; value-added conditions must be written into formal confirmation, not rely on verbal promises.</x:v>
      </x:c>
      <x:c r="E9" s="25" t="str">
        <x:v>流程 3 · 还盘｜终局博弈：有条件接受、反建议与成交</x:v>
      </x:c>
      <x:c r="F9" s="25" t="str">
        <x:v>谈判对话</x:v>
      </x:c>
      <x:c r="G9" s="25" t="str">
        <x:v>中国买方采购经理</x:v>
      </x:c>
      <x:c r="H9" s="25" t="str">
        <x:v>NovaTech 出口总监（卖方）</x:v>
      </x:c>
      <x:c r="I9" s="25" t="str">
        <x:v>在接受核心价格的同时争取可量化增值，准确区分有条件接受与最终无条件接受。</x:v>
      </x:c>
      <x:c r="J9" s="25" t="str">
        <x:v>学生能用价值创造和清晰收口实现可执行的双赢成交。</x:v>
      </x:c>
      <x:c r="K9" s="25" t="n">
        <x:v>20</x:v>
      </x:c>
      <x:c r="L9" s="25" t="str">
        <x:v>挑战</x:v>
      </x:c>
      <x:c r="M9" s="26" t="str">
        <x:v>有条件接受与成交</x:v>
      </x:c>
    </x:row>
    <x:row r="10">
      <x:c r="A10" s="24" t="str">
        <x:v>S09</x:v>
      </x:c>
      <x:c r="B10" s="25" t="str">
        <x:v>S4</x:v>
      </x:c>
      <x:c r="C10" s="25" t="str">
        <x:v>Confirming Deal and Sales Confirmation</x:v>
      </x:c>
      <x:c r="D10" s="25" t="str">
        <x:v>Already agreed on 800 pieces, USD 285 CIF Shanghai, sight L/C, 45-day shipment, 24-month warranty; deviations in amount, date, and terms must be clarified before signing.</x:v>
      </x:c>
      <x:c r="E10" s="25" t="str">
        <x:v>流程 4 · 接受与订货｜确认成交与拟备销售确认书</x:v>
      </x:c>
      <x:c r="F10" s="25" t="str">
        <x:v>商务邮件</x:v>
      </x:c>
      <x:c r="G10" s="25" t="str">
        <x:v>中国买方采购经理</x:v>
      </x:c>
      <x:c r="H10" s="25" t="str">
        <x:v>NovaTech 合同经理（卖方）</x:v>
      </x:c>
      <x:c r="I10" s="25" t="str">
        <x:v>在接受函中准确复述全部成交条款，请卖方拟备销售确认书并明确后续开证节点。</x:v>
      </x:c>
      <x:c r="J10" s="25" t="str">
        <x:v>学生能把谈判结果固化为准确、完整且可执行的书面订单。</x:v>
      </x:c>
      <x:c r="K10" s="25" t="n">
        <x:v>20</x:v>
      </x:c>
      <x:c r="L10" s="25" t="str">
        <x:v>标准</x:v>
      </x:c>
      <x:c r="M10" s="26" t="str">
        <x:v>确认成交</x:v>
      </x:c>
    </x:row>
    <x:row r="11">
      <x:c r="A11" s="24" t="str">
        <x:v>S10</x:v>
      </x:c>
      <x:c r="B11" s="25" t="str">
        <x:v>S4</x:v>
      </x:c>
      <x:c r="C11" s="25" t="str">
        <x:v>Urging the L/C Opening</x:v>
      </x:c>
      <x:c r="D11" s="25" t="str">
        <x:v>Contract stipulates 45-day shipment after receiving L/C, but buyer's internal approval is delayed; cannot promise an opening date that cannot be guaranteed.</x:v>
      </x:c>
      <x:c r="E11" s="25" t="str">
        <x:v>流程 4 · 接受与订货｜催开信用证</x:v>
      </x:c>
      <x:c r="F11" s="25" t="str">
        <x:v>商务邮件</x:v>
      </x:c>
      <x:c r="G11" s="25" t="str">
        <x:v>中国买方采购经理</x:v>
      </x:c>
      <x:c r="H11" s="25" t="str">
        <x:v>NovaTech 合同经理（卖方）</x:v>
      </x:c>
      <x:c r="I11" s="25" t="str">
        <x:v>向内部和卖方确认开证安排，说明延迟对装运的影响，并核对开证行及关键证内条款。</x:v>
      </x:c>
      <x:c r="J11" s="25" t="str">
        <x:v>学生能以明确责任、期限和条款清单推动信用证按时开立。</x:v>
      </x:c>
      <x:c r="K11" s="25" t="n">
        <x:v>20</x:v>
      </x:c>
      <x:c r="L11" s="25" t="str">
        <x:v>标准</x:v>
      </x:c>
      <x:c r="M11" s="26" t="str">
        <x:v>催开信用证</x:v>
      </x:c>
    </x:row>
    <x:row r="12">
      <x:c r="A12" s="24" t="str">
        <x:v>S11</x:v>
      </x:c>
      <x:c r="B12" s="25" t="str">
        <x:v>S5</x:v>
      </x:c>
      <x:c r="C12" s="25" t="str">
        <x:v>Packaging and Marking Negotiation</x:v>
      </x:c>
      <x:c r="D12" s="25" t="str">
        <x:v>LED modules are sensitive to static electricity, moisture, and impact; must neither accept insufficient protection nor unreasonably demand expensive over-packaging.</x:v>
      </x:c>
      <x:c r="E12" s="25" t="str">
        <x:v>流程 5 · 包装与装运｜包装与唛头磋商</x:v>
      </x:c>
      <x:c r="F12" s="25" t="str">
        <x:v>谈判对话</x:v>
      </x:c>
      <x:c r="G12" s="25" t="str">
        <x:v>中国买方物流经理</x:v>
      </x:c>
      <x:c r="H12" s="25" t="str">
        <x:v>NovaTech 包装工程师（卖方）</x:v>
      </x:c>
      <x:c r="I12" s="25" t="str">
        <x:v>提出与风险匹配的内外包装和唛头要求，在防护、成本和可操作性间取得平衡。</x:v>
      </x:c>
      <x:c r="J12" s="25" t="str">
        <x:v>学生能形成要素完整、成本合理并可验收的包装与唛头条款。</x:v>
      </x:c>
      <x:c r="K12" s="25" t="n">
        <x:v>20</x:v>
      </x:c>
      <x:c r="L12" s="25" t="str">
        <x:v>标准</x:v>
      </x:c>
      <x:c r="M12" s="26" t="str">
        <x:v>包装与唛头磋商</x:v>
      </x:c>
    </x:row>
    <x:row r="13">
      <x:c r="A13" s="24" t="str">
        <x:v>S12</x:v>
      </x:c>
      <x:c r="B13" s="25" t="str">
        <x:v>S5</x:v>
      </x:c>
      <x:c r="C13" s="25" t="str">
        <x:v>Partial Shipment, Transshipment, and Urging Shipment</x:v>
      </x:c>
      <x:c r="D13" s="25" t="str">
        <x:v>Seller requests two lots and transshipment via Hong Kong; buyer refuses partial shipment but can accept transshipment that does not delay overall delivery; L/C must be amended accordingly.</x:v>
      </x:c>
      <x:c r="E13" s="25" t="str">
        <x:v>流程 5 · 包装与装运｜分批/转船磋商与催装</x:v>
      </x:c>
      <x:c r="F13" s="25" t="str">
        <x:v>谈判对话</x:v>
      </x:c>
      <x:c r="G13" s="25" t="str">
        <x:v>中国买方物流经理</x:v>
      </x:c>
      <x:c r="H13" s="25" t="str">
        <x:v>NovaTech 出口物流经理（卖方）</x:v>
      </x:c>
      <x:c r="I13" s="25" t="str">
        <x:v>基于项目和信用证要求决定分批与转船条件，确认总交期并建立装运通知机制。</x:v>
      </x:c>
      <x:c r="J13" s="25" t="str">
        <x:v>学生能把物流选择、信用证文本和项目风险联动起来。</x:v>
      </x:c>
      <x:c r="K13" s="25" t="n">
        <x:v>20</x:v>
      </x:c>
      <x:c r="L13" s="25" t="str">
        <x:v>挑战</x:v>
      </x:c>
      <x:c r="M13" s="26" t="str">
        <x:v>分批转船与催装</x:v>
      </x:c>
    </x:row>
    <x:row r="14">
      <x:c r="A14" s="24" t="str">
        <x:v>S13</x:v>
      </x:c>
      <x:c r="B14" s="25" t="str">
        <x:v>S6</x:v>
      </x:c>
      <x:c r="C14" s="25" t="str">
        <x:v>L/C Review and Amendment</x:v>
      </x:c>
      <x:c r="D14" s="25" t="str">
        <x:v>Seller proposes amendments to transshipment, shipment date, presentation period, and document descriptions; must distinguish reasonable operational requirements from demands beyond the contract.</x:v>
      </x:c>
      <x:c r="E14" s="25" t="str">
        <x:v>流程 6 · 付款与交货｜信用证审核与改证</x:v>
      </x:c>
      <x:c r="F14" s="25" t="str">
        <x:v>单证审阅</x:v>
      </x:c>
      <x:c r="G14" s="25" t="str">
        <x:v>中国买方单证主管</x:v>
      </x:c>
      <x:c r="H14" s="25" t="str">
        <x:v>NovaTech 单证经理（卖方）</x:v>
      </x:c>
      <x:c r="I14" s="25" t="str">
        <x:v>逐项核对合同、UCP 600 和履约流程，接受必要改证，拒绝不合理要求并提出可执行文本。</x:v>
      </x:c>
      <x:c r="J14" s="25" t="str">
        <x:v>学生能产出依据明确、风险边界清楚的改证意见。</x:v>
      </x:c>
      <x:c r="K14" s="25" t="n">
        <x:v>30</x:v>
      </x:c>
      <x:c r="L14" s="25" t="str">
        <x:v>挑战</x:v>
      </x:c>
      <x:c r="M14" s="26" t="str">
        <x:v>信用证审核改证</x:v>
      </x:c>
    </x:row>
    <x:row r="15">
      <x:c r="A15" s="24" t="str">
        <x:v>S14</x:v>
      </x:c>
      <x:c r="B15" s="25" t="str">
        <x:v>S6</x:v>
      </x:c>
      <x:c r="C15" s="25" t="str">
        <x:v>Document Presentation, Settlement, and Shipment Notice</x:v>
      </x:c>
      <x:c r="D15" s="25" t="str">
        <x:v>Goods loaded, seller presents documents; cannot refuse payment without basis just because goods have not arrived, but if doubts arise, verification must be retained.</x:v>
      </x:c>
      <x:c r="E15" s="25" t="str">
        <x:v>流程 6 · 付款与交货｜交单结汇与装运通知</x:v>
      </x:c>
      <x:c r="F15" s="25" t="str">
        <x:v>商务邮件</x:v>
      </x:c>
      <x:c r="G15" s="25" t="str">
        <x:v>中国买方单证主管</x:v>
      </x:c>
      <x:c r="H15" s="25" t="str">
        <x:v>NovaTech 单证经理（卖方）</x:v>
      </x:c>
      <x:c r="I15" s="25" t="str">
        <x:v>核对装运详情和关键单据，指出缺失信息，协调接货并理解相符交单触发付款。</x:v>
      </x:c>
      <x:c r="J15" s="25" t="str">
        <x:v>学生能把装运信息、单据审核、到港准备和付款节点连成完整流程。</x:v>
      </x:c>
      <x:c r="K15" s="25" t="n">
        <x:v>20</x:v>
      </x:c>
      <x:c r="L15" s="25" t="str">
        <x:v>标准</x:v>
      </x:c>
      <x:c r="M15" s="26" t="str">
        <x:v>交单结汇与装运通知</x:v>
      </x:c>
    </x:row>
    <x:row r="16">
      <x:c r="A16" s="24" t="str">
        <x:v>S15</x:v>
      </x:c>
      <x:c r="B16" s="25" t="str">
        <x:v>S7</x:v>
      </x:c>
      <x:c r="C16" s="25" t="str">
        <x:v>Inspection Clause Negotiation</x:v>
      </x:c>
      <x:c r="D16" s="25" t="str">
        <x:v>Seller prefers loading-port inspection as final; buyer requires re-inspection for latent defects; re-inspection scope and timeframe must be reasonable; transport damage must not be confused with manufacturing defects.</x:v>
      </x:c>
      <x:c r="E16" s="25" t="str">
        <x:v>流程 7 · 商检、保险与仲裁｜检验条款磋商</x:v>
      </x:c>
      <x:c r="F16" s="25" t="str">
        <x:v>谈判对话</x:v>
      </x:c>
      <x:c r="G16" s="25" t="str">
        <x:v>中国买方质量经理</x:v>
      </x:c>
      <x:c r="H16" s="25" t="str">
        <x:v>NovaTech 质量总监（卖方）</x:v>
      </x:c>
      <x:c r="I16" s="25" t="str">
        <x:v>磋商检验机构、标准、抽样、时限和复验范围，形成责任边界清楚的条款。</x:v>
      </x:c>
      <x:c r="J16" s="25" t="str">
        <x:v>学生能用证据程序平衡卖方结算确定性与买方质量救济。</x:v>
      </x:c>
      <x:c r="K16" s="25" t="n">
        <x:v>20</x:v>
      </x:c>
      <x:c r="L16" s="25" t="str">
        <x:v>挑战</x:v>
      </x:c>
      <x:c r="M16" s="26" t="str">
        <x:v>检验条款磋商</x:v>
      </x:c>
    </x:row>
    <x:row r="17">
      <x:c r="A17" s="24" t="str">
        <x:v>S16</x:v>
      </x:c>
      <x:c r="B17" s="25" t="str">
        <x:v>S8</x:v>
      </x:c>
      <x:c r="C17" s="25" t="str">
        <x:v>Insurance Coverage and Premium</x:v>
      </x:c>
      <x:c r="D17" s="25" t="str">
        <x:v>Under CIF, seller intends to cover ICC(C); buyer, for precision electronic products, prefers ICC(A); must distinguish CIF minimum obligation from additional agreed coverage.</x:v>
      </x:c>
      <x:c r="E17" s="25" t="str">
        <x:v>流程 7 · 商检、保险与仲裁｜投保险别磋商</x:v>
      </x:c>
      <x:c r="F17" s="25" t="str">
        <x:v>谈判对话</x:v>
      </x:c>
      <x:c r="G17" s="25" t="str">
        <x:v>中国买方风险经理</x:v>
      </x:c>
      <x:c r="H17" s="25" t="str">
        <x:v>NovaTech 出口总监（卖方）</x:v>
      </x:c>
      <x:c r="I17" s="25" t="str">
        <x:v>比较险别覆盖与货物风险，确定保险金额、附加险和增量保费承担。</x:v>
      </x:c>
      <x:c r="J17" s="25" t="str">
        <x:v>学生能以风险与成本证据做出知情投保决策。</x:v>
      </x:c>
      <x:c r="K17" s="25" t="n">
        <x:v>20</x:v>
      </x:c>
      <x:c r="L17" s="25" t="str">
        <x:v>挑战</x:v>
      </x:c>
      <x:c r="M17" s="26" t="str">
        <x:v>保险险别磋商</x:v>
      </x:c>
    </x:row>
    <x:row r="18">
      <x:c r="A18" s="24" t="str">
        <x:v>S17</x:v>
      </x:c>
      <x:c r="B18" s="25" t="str">
        <x:v>S8</x:v>
      </x:c>
      <x:c r="C18" s="25" t="str">
        <x:v>Arbitration Clause Negotiation</x:v>
      </x:c>
      <x:c r="D18" s="25" t="str">
        <x:v>Draft says 'arbitration or court' with unclear institution and location; cannot list multiple remedies without specifying a selection mechanism.</x:v>
      </x:c>
      <x:c r="E18" s="25" t="str">
        <x:v>流程 7 · 商检、保险与仲裁｜仲裁条款磋商</x:v>
      </x:c>
      <x:c r="F18" s="25" t="str">
        <x:v>谈判对话</x:v>
      </x:c>
      <x:c r="G18" s="25" t="str">
        <x:v>中国买方法务经理</x:v>
      </x:c>
      <x:c r="H18" s="25" t="str">
        <x:v>NovaTech 法务经理（卖方）</x:v>
      </x:c>
      <x:c r="I18" s="25" t="str">
        <x:v>消除或裁或审的不确定，明确机构、地点、规则、语言和裁决效力，并评估中立性。</x:v>
      </x:c>
      <x:c r="J18" s="25" t="str">
        <x:v>学生能形成唯一、完整并兼顾执行便利的仲裁约定。</x:v>
      </x:c>
      <x:c r="K18" s="25" t="n">
        <x:v>20</x:v>
      </x:c>
      <x:c r="L18" s="25" t="str">
        <x:v>挑战</x:v>
      </x:c>
      <x:c r="M18" s="26" t="str">
        <x:v>仲裁条款磋商</x:v>
      </x:c>
    </x:row>
    <x:row r="19">
      <x:c r="A19" s="24" t="str">
        <x:v>S18</x:v>
      </x:c>
      <x:c r="B19" s="25" t="str">
        <x:v>S9</x:v>
      </x:c>
      <x:c r="C19" s="25" t="str">
        <x:v>Filing a Quality Claim</x:v>
      </x:c>
      <x:c r="D19" s="25" t="str">
        <x:v>Some modules have substandard brightness and water stains, supported by CCIC certificate and photos; manufacturing defects and transport damage must be claimed separately; no duplicate claims.</x:v>
      </x:c>
      <x:c r="E19" s="25" t="str">
        <x:v>流程 8 · 投诉、索赔与理赔｜提出质量索赔</x:v>
      </x:c>
      <x:c r="F19" s="25" t="str">
        <x:v>商务邮件</x:v>
      </x:c>
      <x:c r="G19" s="25" t="str">
        <x:v>中国买方索赔负责人</x:v>
      </x:c>
      <x:c r="H19" s="25" t="str">
        <x:v>NovaTech 售后经理（卖方）</x:v>
      </x:c>
      <x:c r="I19" s="25" t="str">
        <x:v>用事实、证据、合同依据、损失计算、责任切分和回应期限组成正式索赔函。</x:v>
      </x:c>
      <x:c r="J19" s="25" t="str">
        <x:v>学生能提交可核验、归责准确且诉求可执行的英文索赔。</x:v>
      </x:c>
      <x:c r="K19" s="25" t="n">
        <x:v>20</x:v>
      </x:c>
      <x:c r="L19" s="25" t="str">
        <x:v>挑战</x:v>
      </x:c>
      <x:c r="M19" s="26" t="str">
        <x:v>提出质量索赔</x:v>
      </x:c>
    </x:row>
    <x:row r="20">
      <x:c r="A20" s="24" t="str">
        <x:v>S19</x:v>
      </x:c>
      <x:c r="B20" s="25" t="str">
        <x:v>S9</x:v>
      </x:c>
      <x:c r="C20" s="25" t="str">
        <x:v>Responding to Seller's Defence</x:v>
      </x:c>
      <x:c r="D20" s="25" t="str">
        <x:v>Seller challenges tolerance, sampling, and attributes all problems to transport; cannot fabricate evidence; when evidence is insufficient, push for joint re-inspection.</x:v>
      </x:c>
      <x:c r="E20" s="25" t="str">
        <x:v>流程 8 · 投诉、索赔与理赔｜应对抗辩，证据反驳</x:v>
      </x:c>
      <x:c r="F20" s="25" t="str">
        <x:v>谈判对话</x:v>
      </x:c>
      <x:c r="G20" s="25" t="str">
        <x:v>中国买方索赔负责人</x:v>
      </x:c>
      <x:c r="H20" s="25" t="str">
        <x:v>NovaTech 售后经理（卖方）</x:v>
      </x:c>
      <x:c r="I20" s="25" t="str">
        <x:v>拆解抗辩主张，用合同标准、抽样记录和因果证据逐项回应，同时保持专业理性。</x:v>
      </x:c>
      <x:c r="J20" s="25" t="str">
        <x:v>学生能以证据矩阵和清晰因果链反驳不当推诿。</x:v>
      </x:c>
      <x:c r="K20" s="25" t="n">
        <x:v>20</x:v>
      </x:c>
      <x:c r="L20" s="25" t="str">
        <x:v>挑战</x:v>
      </x:c>
      <x:c r="M20" s="26" t="str">
        <x:v>应对卖方抗辩</x:v>
      </x:c>
    </x:row>
    <x:row r="21">
      <x:c r="A21" s="27" t="str">
        <x:v>S20</x:v>
      </x:c>
      <x:c r="B21" s="28" t="str">
        <x:v>S9</x:v>
      </x:c>
      <x:c r="C21" s="28" t="str">
        <x:v>Settlement and Compromise</x:v>
      </x:c>
      <x:c r="D21" s="28" t="str">
        <x:v>Seller offers order discounts, spare parts, and extended warranty instead of cash compensation; discount must not be conditional on unconditional new purchases; settlement scope must be accurate.</x:v>
      </x:c>
      <x:c r="E21" s="28" t="str">
        <x:v>流程 8 · 投诉、索赔与理赔｜理赔和解</x:v>
      </x:c>
      <x:c r="F21" s="28" t="str">
        <x:v>谈判对话</x:v>
      </x:c>
      <x:c r="G21" s="28" t="str">
        <x:v>中国买方索赔负责人</x:v>
      </x:c>
      <x:c r="H21" s="28" t="str">
        <x:v>NovaTech 商务总监（卖方）</x:v>
      </x:c>
      <x:c r="I21" s="28" t="str">
        <x:v>把现金与非现金方案转化为可比较价值，设置履行条件、权利保留和结案文本，维护长期合作。</x:v>
      </x:c>
      <x:c r="J21" s="28" t="str">
        <x:v>学生能达成对己方有实质价值、可履行且关系可持续的和解。</x:v>
      </x:c>
      <x:c r="K21" s="28" t="n">
        <x:v>20</x:v>
      </x:c>
      <x:c r="L21" s="28" t="str">
        <x:v>挑战</x:v>
      </x:c>
      <x:c r="M21" s="29" t="str">
        <x:v>理赔和解</x:v>
      </x:c>
    </x:row>
  </x:sheetData>
  <x:pageMargins left="0.7" right="0.7" top="0.75" bottom="0.75" header="0.3" footer="0.3"/>
  <x:tableParts count="1">
    <x:tablePart xmlns:r="http://schemas.openxmlformats.org/officeDocument/2006/relationships" r:id="R5f94b72f165d46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34" hidden="0" customWidth="1"/>
    <x:col min="5" max="5" width="48" hidden="0" customWidth="1"/>
    <x:col min="6" max="6" width="52" hidden="0" customWidth="1"/>
    <x:col min="7" max="7" width="10" hidden="0" customWidth="1"/>
    <x:col min="8" max="8" width="10" hidden="0" customWidth="1"/>
    <x:col min="9" max="9" width="18" hidden="0" customWidth="1"/>
  </x:cols>
  <x:sheetData>
    <x:row r="1" ht="30" customHeight="1">
      <x:c r="A1" s="21" t="str">
        <x:v>PhenomenonID</x:v>
      </x:c>
      <x:c r="B1" s="22" t="str">
        <x:v>StageID</x:v>
      </x:c>
      <x:c r="C1" s="22" t="str">
        <x:v>PhenomenonNameZH</x:v>
      </x:c>
      <x:c r="D1" s="22" t="str">
        <x:v>PhenomenonNameEN</x:v>
      </x:c>
      <x:c r="E1" s="22" t="str">
        <x:v>DescriptionZH</x:v>
      </x:c>
      <x:c r="F1" s="22" t="str">
        <x:v>DescriptionEN</x:v>
      </x:c>
      <x:c r="G1" s="22" t="str">
        <x:v>Risk</x:v>
      </x:c>
      <x:c r="H1" s="22" t="str">
        <x:v>Frequency</x:v>
      </x:c>
      <x:c r="I1" s="23" t="str">
        <x:v>ShortNameZH</x:v>
      </x:c>
    </x:row>
    <x:row r="2">
      <x:c r="A2" s="24" t="str">
        <x:v>P1.01</x:v>
      </x:c>
      <x:c r="B2" s="25" t="str">
        <x:v>S1</x:v>
      </x:c>
      <x:c r="C2" s="25" t="str">
        <x:v>试探性询盘</x:v>
      </x:c>
      <x:c r="D2" s="25" t="str">
        <x:v>Fishing / non-committal inquiries</x:v>
      </x:c>
      <x:c r="E2" s="25" t="str">
        <x:v>对方发送含糊的询价请求，并无真实采购意图，只为探取价格。</x:v>
      </x:c>
      <x:c r="F2" s="25" t="str">
        <x:v>Counterparty sends vague RFQs with no real buying intent, fishing for prices.</x:v>
      </x:c>
      <x:c r="G2" s="25" t="str">
        <x:v>中</x:v>
      </x:c>
      <x:c r="H2" s="25" t="str">
        <x:v>高</x:v>
      </x:c>
      <x:c r="I2" s="26" t="str">
        <x:v>试探询盘</x:v>
      </x:c>
    </x:row>
    <x:row r="3">
      <x:c r="A3" s="24" t="str">
        <x:v>P1.02</x:v>
      </x:c>
      <x:c r="B3" s="25" t="str">
        <x:v>S1</x:v>
      </x:c>
      <x:c r="C3" s="25" t="str">
        <x:v>询盘要素不完整</x:v>
      </x:c>
      <x:c r="D3" s="25" t="str">
        <x:v>Incomplete inquiries</x:v>
      </x:c>
      <x:c r="E3" s="25" t="str">
        <x:v>规格、数量、目的地或包装等信息缺失，导致回复无法进行有效比较。</x:v>
      </x:c>
      <x:c r="F3" s="25" t="str">
        <x:v>Specs, quantity, destination, or packing are missing, so any reply is incomparable.</x:v>
      </x:c>
      <x:c r="G3" s="25" t="str">
        <x:v>中</x:v>
      </x:c>
      <x:c r="H3" s="25" t="str">
        <x:v>高</x:v>
      </x:c>
      <x:c r="I3" s="26" t="str">
        <x:v>询盘缺项</x:v>
      </x:c>
    </x:row>
    <x:row r="4">
      <x:c r="A4" s="24" t="str">
        <x:v>P1.03</x:v>
      </x:c>
      <x:c r="B4" s="25" t="str">
        <x:v>S1</x:v>
      </x:c>
      <x:c r="C4" s="25" t="str">
        <x:v>多供应商询价泛滥</x:v>
      </x:c>
      <x:c r="D4" s="25" t="str">
        <x:v>Multi-supplier RFQ flooding</x:v>
      </x:c>
      <x:c r="E4" s="25" t="str">
        <x:v>同一询价被群发给大量卖方，却没有结构化的比价方法。</x:v>
      </x:c>
      <x:c r="F4" s="25" t="str">
        <x:v>The same RFQ is blasted to many sellers with no structured comparison method.</x:v>
      </x:c>
      <x:c r="G4" s="25" t="str">
        <x:v>低</x:v>
      </x:c>
      <x:c r="H4" s="25" t="str">
        <x:v>高</x:v>
      </x:c>
      <x:c r="I4" s="26" t="str">
        <x:v>群发询价</x:v>
      </x:c>
    </x:row>
    <x:row r="5">
      <x:c r="A5" s="24" t="str">
        <x:v>P1.04</x:v>
      </x:c>
      <x:c r="B5" s="25" t="str">
        <x:v>S1</x:v>
      </x:c>
      <x:c r="C5" s="25" t="str">
        <x:v>询盘意外构成发盘</x:v>
      </x:c>
      <x:c r="D5" s="25" t="str">
        <x:v>Inquiry that risks becoming an offer</x:v>
      </x:c>
      <x:c r="E5" s="25" t="str">
        <x:v>询盘或回复的措辞无意中包含明确条款及受约束意图，从而可能构成发盘。</x:v>
      </x:c>
      <x:c r="F5" s="25" t="str">
        <x:v>Wording of the inquiry (or the reply) accidentally supplies definite terms plus intent to be bound.</x:v>
      </x:c>
      <x:c r="G5" s="25" t="str">
        <x:v>高</x:v>
      </x:c>
      <x:c r="H5" s="25" t="str">
        <x:v>中</x:v>
      </x:c>
      <x:c r="I5" s="26" t="str">
        <x:v>询盘变发盘</x:v>
      </x:c>
    </x:row>
    <x:row r="6">
      <x:c r="A6" s="24" t="str">
        <x:v>P1.05</x:v>
      </x:c>
      <x:c r="B6" s="25" t="str">
        <x:v>S1</x:v>
      </x:c>
      <x:c r="C6" s="25" t="str">
        <x:v>首次接触礼仪失当</x:v>
      </x:c>
      <x:c r="D6" s="25" t="str">
        <x:v>First-contact etiquette failure</x:v>
      </x:c>
      <x:c r="E6" s="25" t="str">
        <x:v>首封函电的语气、称谓、礼物或发送时机冒犯高语境文化的对方。</x:v>
      </x:c>
      <x:c r="F6" s="25" t="str">
        <x:v>Tone, title, gift, or timing of the first letter offends a high-context counterpart.</x:v>
      </x:c>
      <x:c r="G6" s="25" t="str">
        <x:v>中</x:v>
      </x:c>
      <x:c r="H6" s="25" t="str">
        <x:v>中</x:v>
      </x:c>
      <x:c r="I6" s="26" t="str">
        <x:v>首触失礼</x:v>
      </x:c>
    </x:row>
    <x:row r="7">
      <x:c r="A7" s="24" t="str">
        <x:v>P1.06</x:v>
      </x:c>
      <x:c r="B7" s="25" t="str">
        <x:v>S1</x:v>
      </x:c>
      <x:c r="C7" s="25" t="str">
        <x:v>隐瞒数量只问价格</x:v>
      </x:c>
      <x:c r="D7" s="25" t="str">
        <x:v>Price-fishing without volume</x:v>
      </x:c>
      <x:c r="E7" s="25" t="str">
        <x:v>买方拒绝透露数量、条款或目的地，却持续要求卖方给出单价。</x:v>
      </x:c>
      <x:c r="F7" s="25" t="str">
        <x:v>Buyer presses for a unit price while refusing to disclose quantity, terms, or destination.</x:v>
      </x:c>
      <x:c r="G7" s="25" t="str">
        <x:v>中</x:v>
      </x:c>
      <x:c r="H7" s="25" t="str">
        <x:v>高</x:v>
      </x:c>
      <x:c r="I7" s="26" t="str">
        <x:v>无量探价</x:v>
      </x:c>
    </x:row>
    <x:row r="8">
      <x:c r="A8" s="24" t="str">
        <x:v>P1.07</x:v>
      </x:c>
      <x:c r="B8" s="25" t="str">
        <x:v>S1</x:v>
      </x:c>
      <x:c r="C8" s="25" t="str">
        <x:v>未调研即询盘</x:v>
      </x:c>
      <x:c r="D8" s="25" t="str">
        <x:v>Inquiring without market research</x:v>
      </x:c>
      <x:c r="E8" s="25" t="str">
        <x:v>在尚未掌握现有供应商、价格区间或监管要求前就贸然询盘。</x:v>
      </x:c>
      <x:c r="F8" s="25" t="str">
        <x:v>The party inquires before mapping incumbents, price bands, or regulatory constraints.</x:v>
      </x:c>
      <x:c r="G8" s="25" t="str">
        <x:v>低</x:v>
      </x:c>
      <x:c r="H8" s="25" t="str">
        <x:v>中</x:v>
      </x:c>
      <x:c r="I8" s="26" t="str">
        <x:v>盲目询盘</x:v>
      </x:c>
    </x:row>
    <x:row r="9">
      <x:c r="A9" s="24" t="str">
        <x:v>P2.01</x:v>
      </x:c>
      <x:c r="B9" s="25" t="str">
        <x:v>S2</x:v>
      </x:c>
      <x:c r="C9" s="25" t="str">
        <x:v>持续提供虚盘</x:v>
      </x:c>
      <x:c r="D9" s="25" t="str">
        <x:v>Persistent non-binding / fishing offers</x:v>
      </x:c>
      <x:c r="E9" s="25" t="str">
        <x:v>对方反复发出标注“以我方确认为准”的报价，始终不愿转为实盘。</x:v>
      </x:c>
      <x:c r="F9" s="25" t="str">
        <x:v>Counterparty issues quotations labelled 'subject to confirmation' and never firms up.</x:v>
      </x:c>
      <x:c r="G9" s="25" t="str">
        <x:v>高</x:v>
      </x:c>
      <x:c r="H9" s="25" t="str">
        <x:v>高</x:v>
      </x:c>
      <x:c r="I9" s="26" t="str">
        <x:v>持续虚盘</x:v>
      </x:c>
    </x:row>
    <x:row r="10">
      <x:c r="A10" s="24" t="str">
        <x:v>P2.02</x:v>
      </x:c>
      <x:c r="B10" s="25" t="str">
        <x:v>S2</x:v>
      </x:c>
      <x:c r="C10" s="25" t="str">
        <x:v>发盘有效期模糊或缺失</x:v>
      </x:c>
      <x:c r="D10" s="25" t="str">
        <x:v>Ambiguous or missing validity period</x:v>
      </x:c>
      <x:c r="E10" s="25" t="str">
        <x:v>发盘未说明何时失效，容易引发逾期接受和履约争议。</x:v>
      </x:c>
      <x:c r="F10" s="25" t="str">
        <x:v>The offer does not state when it lapses, inviting late 'acceptances' and disputes.</x:v>
      </x:c>
      <x:c r="G10" s="25" t="str">
        <x:v>高</x:v>
      </x:c>
      <x:c r="H10" s="25" t="str">
        <x:v>中</x:v>
      </x:c>
      <x:c r="I10" s="26" t="str">
        <x:v>有效期不明</x:v>
      </x:c>
    </x:row>
    <x:row r="11">
      <x:c r="A11" s="24" t="str">
        <x:v>P2.03</x:v>
      </x:c>
      <x:c r="B11" s="25" t="str">
        <x:v>S2</x:v>
      </x:c>
      <x:c r="C11" s="25" t="str">
        <x:v>FOB/CIF 混淆成本</x:v>
      </x:c>
      <x:c r="D11" s="25" t="str">
        <x:v>FOB/CIF mix-up hiding true cost</x:v>
      </x:c>
      <x:c r="E11" s="25" t="str">
        <x:v>贸易术语被替换或故意含糊，使运费和保险费从价格比较中消失。</x:v>
      </x:c>
      <x:c r="F11" s="25" t="str">
        <x:v>Incoterm is switched or left vague so freight and insurance disappear from the comparison.</x:v>
      </x:c>
      <x:c r="G11" s="25" t="str">
        <x:v>高</x:v>
      </x:c>
      <x:c r="H11" s="25" t="str">
        <x:v>高</x:v>
      </x:c>
      <x:c r="I11" s="26" t="str">
        <x:v>术语混价</x:v>
      </x:c>
    </x:row>
    <x:row r="12">
      <x:c r="A12" s="24" t="str">
        <x:v>P2.04</x:v>
      </x:c>
      <x:c r="B12" s="25" t="str">
        <x:v>S2</x:v>
      </x:c>
      <x:c r="C12" s="25" t="str">
        <x:v>极端价格锚定</x:v>
      </x:c>
      <x:c r="D12" s="25" t="str">
        <x:v>Extreme price anchoring</x:v>
      </x:c>
      <x:c r="E12" s="25" t="str">
        <x:v>开价远离保留价格，试图强行拉动可能成交区间。</x:v>
      </x:c>
      <x:c r="F12" s="25" t="str">
        <x:v>Opening price is set far from reservation price to drag the zone of agreement.</x:v>
      </x:c>
      <x:c r="G12" s="25" t="str">
        <x:v>中</x:v>
      </x:c>
      <x:c r="H12" s="25" t="str">
        <x:v>高</x:v>
      </x:c>
      <x:c r="I12" s="26" t="str">
        <x:v>极端锚定</x:v>
      </x:c>
    </x:row>
    <x:row r="13">
      <x:c r="A13" s="24" t="str">
        <x:v>P2.05</x:v>
      </x:c>
      <x:c r="B13" s="25" t="str">
        <x:v>S2</x:v>
      </x:c>
      <x:c r="C13" s="25" t="str">
        <x:v>附条件发盘暗藏陷阱</x:v>
      </x:c>
      <x:c r="D13" s="25" t="str">
        <x:v>Conditional offers with hidden traps</x:v>
      </x:c>
      <x:c r="E13" s="25" t="str">
        <x:v>发盘叠加许可、库存或董事会批准等条件，实质上削弱交易确定性。</x:v>
      </x:c>
      <x:c r="F13" s="25" t="str">
        <x:v>Offer is loaded with conditions (subject to licence, stock, or board approval) that gut certainty.</x:v>
      </x:c>
      <x:c r="G13" s="25" t="str">
        <x:v>高</x:v>
      </x:c>
      <x:c r="H13" s="25" t="str">
        <x:v>中</x:v>
      </x:c>
      <x:c r="I13" s="26" t="str">
        <x:v>条件陷阱</x:v>
      </x:c>
    </x:row>
    <x:row r="14">
      <x:c r="A14" s="24" t="str">
        <x:v>P2.06</x:v>
      </x:c>
      <x:c r="B14" s="25" t="str">
        <x:v>S2</x:v>
      </x:c>
      <x:c r="C14" s="25" t="str">
        <x:v>生效后撤回发盘</x:v>
      </x:c>
      <x:c r="D14" s="25" t="str">
        <x:v>Withdrawal after the offer has taken effect</x:v>
      </x:c>
      <x:c r="E14" s="25" t="str">
        <x:v>受盘人已收到仍在有效期内的实盘后，发盘人仍试图撤销。</x:v>
      </x:c>
      <x:c r="F14" s="25" t="str">
        <x:v>Offeror tries to revoke once the offeree has received a firm offer still in force.</x:v>
      </x:c>
      <x:c r="G14" s="25" t="str">
        <x:v>高</x:v>
      </x:c>
      <x:c r="H14" s="25" t="str">
        <x:v>低</x:v>
      </x:c>
      <x:c r="I14" s="26" t="str">
        <x:v>违规撤盘</x:v>
      </x:c>
    </x:row>
    <x:row r="15">
      <x:c r="A15" s="24" t="str">
        <x:v>P2.07</x:v>
      </x:c>
      <x:c r="B15" s="25" t="str">
        <x:v>S2</x:v>
      </x:c>
      <x:c r="C15" s="25" t="str">
        <x:v>发盘缺少主要条款</x:v>
      </x:c>
      <x:c r="D15" s="25" t="str">
        <x:v>Incomplete offer missing essential terms</x:v>
      </x:c>
      <x:c r="E15" s="25" t="str">
        <x:v>标的、数量、价格或交付条件缺失，使所谓发盘不具备发盘资格。</x:v>
      </x:c>
      <x:c r="F15" s="25" t="str">
        <x:v>Subject matter, quantity, price, or delivery is missing, so the 'offer' is not an offer.</x:v>
      </x:c>
      <x:c r="G15" s="25" t="str">
        <x:v>高</x:v>
      </x:c>
      <x:c r="H15" s="25" t="str">
        <x:v>中</x:v>
      </x:c>
      <x:c r="I15" s="26" t="str">
        <x:v>发盘缺项</x:v>
      </x:c>
    </x:row>
    <x:row r="16">
      <x:c r="A16" s="24" t="str">
        <x:v>P3.01</x:v>
      </x:c>
      <x:c r="B16" s="25" t="str">
        <x:v>S3</x:v>
      </x:c>
      <x:c r="C16" s="25" t="str">
        <x:v>反复还盘陷入僵局</x:v>
      </x:c>
      <x:c r="D16" s="25" t="str">
        <x:v>Endless counter-offer loops / deadlock</x:v>
      </x:c>
      <x:c r="E16" s="25" t="str">
        <x:v>双方不断修改条款，直至谈判停滞且原发盘已经失效。</x:v>
      </x:c>
      <x:c r="F16" s="25" t="str">
        <x:v>Parties bounce modified terms until talks stall and the original offer is gone.</x:v>
      </x:c>
      <x:c r="G16" s="25" t="str">
        <x:v>高</x:v>
      </x:c>
      <x:c r="H16" s="25" t="str">
        <x:v>中</x:v>
      </x:c>
      <x:c r="I16" s="26" t="str">
        <x:v>还盘僵局</x:v>
      </x:c>
    </x:row>
    <x:row r="17">
      <x:c r="A17" s="24" t="str">
        <x:v>P3.02</x:v>
      </x:c>
      <x:c r="B17" s="25" t="str">
        <x:v>S3</x:v>
      </x:c>
      <x:c r="C17" s="25" t="str">
        <x:v>还盘使原发盘失效</x:v>
      </x:c>
      <x:c r="D17" s="25" t="str">
        <x:v>Counter-offer extinguishes the original offer</x:v>
      </x:c>
      <x:c r="E17" s="25" t="str">
        <x:v>对主要条款的变更消灭原发盘，提出还盘的一方不能再回头接受原发盘。</x:v>
      </x:c>
      <x:c r="F17" s="25" t="str">
        <x:v>A material variation kills the fallback; the party cannot later accept the first offer.</x:v>
      </x:c>
      <x:c r="G17" s="25" t="str">
        <x:v>高</x:v>
      </x:c>
      <x:c r="H17" s="25" t="str">
        <x:v>高</x:v>
      </x:c>
      <x:c r="I17" s="26" t="str">
        <x:v>原盘失效</x:v>
      </x:c>
    </x:row>
    <x:row r="18">
      <x:c r="A18" s="24" t="str">
        <x:v>P3.03</x:v>
      </x:c>
      <x:c r="B18" s="25" t="str">
        <x:v>S3</x:v>
      </x:c>
      <x:c r="C18" s="25" t="str">
        <x:v>沉默或行为被视为接受</x:v>
      </x:c>
      <x:c r="D18" s="25" t="str">
        <x:v>Silence or conduct read as acceptance</x:v>
      </x:c>
      <x:c r="E18" s="25" t="str">
        <x:v>一方把未回复、继续履行或接收货物解释为对条款的同意。</x:v>
      </x:c>
      <x:c r="F18" s="25" t="str">
        <x:v>One side treats no-reply, continued performance, or taking delivery as assent.</x:v>
      </x:c>
      <x:c r="G18" s="25" t="str">
        <x:v>高</x:v>
      </x:c>
      <x:c r="H18" s="25" t="str">
        <x:v>中</x:v>
      </x:c>
      <x:c r="I18" s="26" t="str">
        <x:v>默示接受</x:v>
      </x:c>
    </x:row>
    <x:row r="19">
      <x:c r="A19" s="24" t="str">
        <x:v>P3.04</x:v>
      </x:c>
      <x:c r="B19" s="25" t="str">
        <x:v>S3</x:v>
      </x:c>
      <x:c r="C19" s="25" t="str">
        <x:v>单方面持续让步</x:v>
      </x:c>
      <x:c r="D19" s="25" t="str">
        <x:v>One-sided concessions</x:v>
      </x:c>
      <x:c r="E19" s="25" t="str">
        <x:v>让步只从一方向另一方流动，己方筹码不断消耗却没有获得互惠。</x:v>
      </x:c>
      <x:c r="F19" s="25" t="str">
        <x:v>Concessions flow only one way; the conceding party depletes leverage with no reciprocity.</x:v>
      </x:c>
      <x:c r="G19" s="25" t="str">
        <x:v>中</x:v>
      </x:c>
      <x:c r="H19" s="25" t="str">
        <x:v>高</x:v>
      </x:c>
      <x:c r="I19" s="26" t="str">
        <x:v>单向让步</x:v>
      </x:c>
    </x:row>
    <x:row r="20">
      <x:c r="A20" s="24" t="str">
        <x:v>P3.05</x:v>
      </x:c>
      <x:c r="B20" s="25" t="str">
        <x:v>S3</x:v>
      </x:c>
      <x:c r="C20" s="25" t="str">
        <x:v>威胁对方面子的谈判</x:v>
      </x:c>
      <x:c r="D20" s="25" t="str">
        <x:v>Face-threatening bargaining</x:v>
      </x:c>
      <x:c r="E20" s="25" t="str">
        <x:v>在高语境文化中直接拒绝或公开施压，导致关系和谈判同时崩塌。</x:v>
      </x:c>
      <x:c r="F20" s="25" t="str">
        <x:v>Direct refusal or public pressure in a high-context culture collapses the relationship.</x:v>
      </x:c>
      <x:c r="G20" s="25" t="str">
        <x:v>中</x:v>
      </x:c>
      <x:c r="H20" s="25" t="str">
        <x:v>中</x:v>
      </x:c>
      <x:c r="I20" s="26" t="str">
        <x:v>面子威胁</x:v>
      </x:c>
    </x:row>
    <x:row r="21">
      <x:c r="A21" s="24" t="str">
        <x:v>P3.06</x:v>
      </x:c>
      <x:c r="B21" s="25" t="str">
        <x:v>S3</x:v>
      </x:c>
      <x:c r="C21" s="25" t="str">
        <x:v>意外变更主要条款</x:v>
      </x:c>
      <x:c r="D21" s="25" t="str">
        <x:v>Accidental change of essential terms</x:v>
      </x:c>
      <x:c r="E21" s="25" t="str">
        <x:v>对价格、数量或装运的所谓小修改，实际上构成新的还盘。</x:v>
      </x:c>
      <x:c r="F21" s="25" t="str">
        <x:v>A 'minor' tweak to price, quantity, or shipment actually constitutes a counter-offer.</x:v>
      </x:c>
      <x:c r="G21" s="25" t="str">
        <x:v>高</x:v>
      </x:c>
      <x:c r="H21" s="25" t="str">
        <x:v>中</x:v>
      </x:c>
      <x:c r="I21" s="26" t="str">
        <x:v>误改主条款</x:v>
      </x:c>
    </x:row>
    <x:row r="22">
      <x:c r="A22" s="24" t="str">
        <x:v>P3.07</x:v>
      </x:c>
      <x:c r="B22" s="25" t="str">
        <x:v>S3</x:v>
      </x:c>
      <x:c r="C22" s="25" t="str">
        <x:v>还盘时机或措辞不当</x:v>
      </x:c>
      <x:c r="D22" s="25" t="str">
        <x:v>Poorly timed or poorly worded counter-offer</x:v>
      </x:c>
      <x:c r="E22" s="25" t="str">
        <x:v>还盘过早、过晚或措辞不妥，增加谈判僵局风险。</x:v>
      </x:c>
      <x:c r="F22" s="25" t="str">
        <x:v>Counter-offer arrives too late, too early, or in language that invites deadlock.</x:v>
      </x:c>
      <x:c r="G22" s="25" t="str">
        <x:v>中</x:v>
      </x:c>
      <x:c r="H22" s="25" t="str">
        <x:v>中</x:v>
      </x:c>
      <x:c r="I22" s="26" t="str">
        <x:v>还盘失当</x:v>
      </x:c>
    </x:row>
    <x:row r="23">
      <x:c r="A23" s="24" t="str">
        <x:v>P4.01</x:v>
      </x:c>
      <x:c r="B23" s="25" t="str">
        <x:v>S4</x:v>
      </x:c>
      <x:c r="C23" s="25" t="str">
        <x:v>有效期后逾期接受</x:v>
      </x:c>
      <x:c r="D23" s="25" t="str">
        <x:v>Late acceptance after expiry</x:v>
      </x:c>
      <x:c r="E23" s="25" t="str">
        <x:v>接受通知在有效期届满后到达，原发盘人可以将其视为新发盘。</x:v>
      </x:c>
      <x:c r="F23" s="25" t="str">
        <x:v>Assent arrives after the validity period; the original offeror may treat it as a new offer.</x:v>
      </x:c>
      <x:c r="G23" s="25" t="str">
        <x:v>高</x:v>
      </x:c>
      <x:c r="H23" s="25" t="str">
        <x:v>中</x:v>
      </x:c>
      <x:c r="I23" s="26" t="str">
        <x:v>逾期接受</x:v>
      </x:c>
    </x:row>
    <x:row r="24">
      <x:c r="A24" s="24" t="str">
        <x:v>P4.02</x:v>
      </x:c>
      <x:c r="B24" s="25" t="str">
        <x:v>S4</x:v>
      </x:c>
      <x:c r="C24" s="25" t="str">
        <x:v>附修改的接受</x:v>
      </x:c>
      <x:c r="D24" s="25" t="str">
        <x:v>Acceptance with modifications</x:v>
      </x:c>
      <x:c r="E24" s="25" t="str">
        <x:v>“同意，但是……”在法律上属于还盘，发送方却误以为合同已经成立。</x:v>
      </x:c>
      <x:c r="F24" s="25" t="str">
        <x:v>A 'yes, but' reply is legally a counter-offer, yet the sender believes a contract exists.</x:v>
      </x:c>
      <x:c r="G24" s="25" t="str">
        <x:v>高</x:v>
      </x:c>
      <x:c r="H24" s="25" t="str">
        <x:v>高</x:v>
      </x:c>
      <x:c r="I24" s="26" t="str">
        <x:v>有条件接受</x:v>
      </x:c>
    </x:row>
    <x:row r="25">
      <x:c r="A25" s="24" t="str">
        <x:v>P4.03</x:v>
      </x:c>
      <x:c r="B25" s="25" t="str">
        <x:v>S4</x:v>
      </x:c>
      <x:c r="C25" s="25" t="str">
        <x:v>合同是否成立发生争议</x:v>
      </x:c>
      <x:c r="D25" s="25" t="str">
        <x:v>Dispute over whether a contract has formed</x:v>
      </x:c>
      <x:c r="E25" s="25" t="str">
        <x:v>双方对合同成立时间、通知媒介或条款是否一致存在分歧。</x:v>
      </x:c>
      <x:c r="F25" s="25" t="str">
        <x:v>Parties disagree on the moment of formation, the medium of notice, or the matching of terms.</x:v>
      </x:c>
      <x:c r="G25" s="25" t="str">
        <x:v>高</x:v>
      </x:c>
      <x:c r="H25" s="25" t="str">
        <x:v>中</x:v>
      </x:c>
      <x:c r="I25" s="26" t="str">
        <x:v>成立争议</x:v>
      </x:c>
    </x:row>
    <x:row r="26">
      <x:c r="A26" s="24" t="str">
        <x:v>P4.04</x:v>
      </x:c>
      <x:c r="B26" s="25" t="str">
        <x:v>S4</x:v>
      </x:c>
      <x:c r="C26" s="25" t="str">
        <x:v>合同成立后取消</x:v>
      </x:c>
      <x:c r="D26" s="25" t="str">
        <x:v>Cancellation after contract formation</x:v>
      </x:c>
      <x:c r="E26" s="25" t="str">
        <x:v>有效接受已经约束双方后，买方或卖方仍试图退出交易。</x:v>
      </x:c>
      <x:c r="F26" s="25" t="str">
        <x:v>Buyer or seller tries to walk away once a valid acceptance has already bound both sides.</x:v>
      </x:c>
      <x:c r="G26" s="25" t="str">
        <x:v>高</x:v>
      </x:c>
      <x:c r="H26" s="25" t="str">
        <x:v>中</x:v>
      </x:c>
      <x:c r="I26" s="26" t="str">
        <x:v>成立后取消</x:v>
      </x:c>
    </x:row>
    <x:row r="27">
      <x:c r="A27" s="24" t="str">
        <x:v>P4.05</x:v>
      </x:c>
      <x:c r="B27" s="25" t="str">
        <x:v>S4</x:v>
      </x:c>
      <x:c r="C27" s="25" t="str">
        <x:v>履约中途变更订单</x:v>
      </x:c>
      <x:c r="D27" s="25" t="str">
        <x:v>Mid-performance order changes</x:v>
      </x:c>
      <x:c r="E27" s="25" t="str">
        <x:v>生产或订舱开始后，数量、规格或装运日期被再次修改。</x:v>
      </x:c>
      <x:c r="F27" s="25" t="str">
        <x:v>Quantity, specs, or ship date are altered after production or booking has begun.</x:v>
      </x:c>
      <x:c r="G27" s="25" t="str">
        <x:v>中</x:v>
      </x:c>
      <x:c r="H27" s="25" t="str">
        <x:v>高</x:v>
      </x:c>
      <x:c r="I27" s="26" t="str">
        <x:v>中途改单</x:v>
      </x:c>
    </x:row>
    <x:row r="28">
      <x:c r="A28" s="24" t="str">
        <x:v>P4.06</x:v>
      </x:c>
      <x:c r="B28" s="25" t="str">
        <x:v>S4</x:v>
      </x:c>
      <x:c r="C28" s="25" t="str">
        <x:v>跨文化语境中的非承诺性“同意”</x:v>
      </x:c>
      <x:c r="D28" s="25" t="str">
        <x:v>Cross-cultural 'yes' that is not acceptance</x:v>
      </x:c>
      <x:c r="E28" s="25" t="str">
        <x:v>礼貌附和或“我们会研究”被误解为无条件接受。</x:v>
      </x:c>
      <x:c r="F28" s="25" t="str">
        <x:v>Polite assent or 'we will study it' is mistaken for an unconditional acceptance.</x:v>
      </x:c>
      <x:c r="G28" s="25" t="str">
        <x:v>高</x:v>
      </x:c>
      <x:c r="H28" s="25" t="str">
        <x:v>中</x:v>
      </x:c>
      <x:c r="I28" s="26" t="str">
        <x:v>礼貌性同意</x:v>
      </x:c>
    </x:row>
    <x:row r="29">
      <x:c r="A29" s="24" t="str">
        <x:v>P4.07</x:v>
      </x:c>
      <x:c r="B29" s="25" t="str">
        <x:v>S4</x:v>
      </x:c>
      <x:c r="C29" s="25" t="str">
        <x:v>订货后交期持续漂移</x:v>
      </x:c>
      <x:c r="D29" s="25" t="str">
        <x:v>Delivery-date drift after ordering</x:v>
      </x:c>
      <x:c r="E29" s="25" t="str">
        <x:v>已确认的装运窗口不断后移，却没有监控、免责分析或及时通知。</x:v>
      </x:c>
      <x:c r="F29" s="25" t="str">
        <x:v>The confirmed ship window slips with no monitoring, exemption analysis, or notice.</x:v>
      </x:c>
      <x:c r="G29" s="25" t="str">
        <x:v>中</x:v>
      </x:c>
      <x:c r="H29" s="25" t="str">
        <x:v>高</x:v>
      </x:c>
      <x:c r="I29" s="26" t="str">
        <x:v>交期漂移</x:v>
      </x:c>
    </x:row>
    <x:row r="30">
      <x:c r="A30" s="24" t="str">
        <x:v>P5.01</x:v>
      </x:c>
      <x:c r="B30" s="25" t="str">
        <x:v>S5</x:v>
      </x:c>
      <x:c r="C30" s="25" t="str">
        <x:v>包装未通过防潮防盗或运输测试</x:v>
      </x:c>
      <x:c r="D30" s="25" t="str">
        <x:v>Packaging fails moisture, theft, or mode tests</x:v>
      </x:c>
      <x:c r="E30" s="25" t="str">
        <x:v>出口包装与运输方式不匹配，或遗漏防潮、防盗保护。</x:v>
      </x:c>
      <x:c r="F30" s="25" t="str">
        <x:v>Export packing is specified for the wrong mode or omits moisture/theft protection.</x:v>
      </x:c>
      <x:c r="G30" s="25" t="str">
        <x:v>高</x:v>
      </x:c>
      <x:c r="H30" s="25" t="str">
        <x:v>高</x:v>
      </x:c>
      <x:c r="I30" s="26" t="str">
        <x:v>包装失效</x:v>
      </x:c>
    </x:row>
    <x:row r="31">
      <x:c r="A31" s="24" t="str">
        <x:v>P5.02</x:v>
      </x:c>
      <x:c r="B31" s="25" t="str">
        <x:v>S5</x:v>
      </x:c>
      <x:c r="C31" s="25" t="str">
        <x:v>唛头错误导致货物混淆</x:v>
      </x:c>
      <x:c r="D31" s="25" t="str">
        <x:v>Wrong shipping marks causing mix-up</x:v>
      </x:c>
      <x:c r="E31" s="25" t="str">
        <x:v>唛头、编号或装卸标识缺失、错误或无法辨认。</x:v>
      </x:c>
      <x:c r="F31" s="25" t="str">
        <x:v>Marks, numbers, or handling symbols are missing, wrong, or unreadable.</x:v>
      </x:c>
      <x:c r="G31" s="25" t="str">
        <x:v>高</x:v>
      </x:c>
      <x:c r="H31" s="25" t="str">
        <x:v>中</x:v>
      </x:c>
      <x:c r="I31" s="26" t="str">
        <x:v>唛头错误</x:v>
      </x:c>
    </x:row>
    <x:row r="32">
      <x:c r="A32" s="24" t="str">
        <x:v>P5.03</x:v>
      </x:c>
      <x:c r="B32" s="25" t="str">
        <x:v>S5</x:v>
      </x:c>
      <x:c r="C32" s="25" t="str">
        <x:v>装箱与货物系固错误</x:v>
      </x:c>
      <x:c r="D32" s="25" t="str">
        <x:v>Container stuffing and securing errors</x:v>
      </x:c>
      <x:c r="E32" s="25" t="str">
        <x:v>重量分布、垫塞或绑扎不当，造成货移或集装箱超重。</x:v>
      </x:c>
      <x:c r="F32" s="25" t="str">
        <x:v>Weight distribution, blocking, or lashing is wrong; cargo shifts or the box is overweight.</x:v>
      </x:c>
      <x:c r="G32" s="25" t="str">
        <x:v>高</x:v>
      </x:c>
      <x:c r="H32" s="25" t="str">
        <x:v>中</x:v>
      </x:c>
      <x:c r="I32" s="26" t="str">
        <x:v>装箱系固错误</x:v>
      </x:c>
    </x:row>
    <x:row r="33">
      <x:c r="A33" s="24" t="str">
        <x:v>P5.04</x:v>
      </x:c>
      <x:c r="B33" s="25" t="str">
        <x:v>S5</x:v>
      </x:c>
      <x:c r="C33" s="25" t="str">
        <x:v>运输方式错误或错过船期</x:v>
      </x:c>
      <x:c r="D33" s="25" t="str">
        <x:v>Wrong transport mode or missed vessel</x:v>
      </x:c>
      <x:c r="E33" s="25" t="str">
        <x:v>空运、海运或铁路选择不经济，或货物错过预订截关时间。</x:v>
      </x:c>
      <x:c r="F33" s="25" t="str">
        <x:v>Air/sea/rail choice is uneconomic, or cargo misses the booked cut-off.</x:v>
      </x:c>
      <x:c r="G33" s="25" t="str">
        <x:v>中</x:v>
      </x:c>
      <x:c r="H33" s="25" t="str">
        <x:v>高</x:v>
      </x:c>
      <x:c r="I33" s="26" t="str">
        <x:v>错选运输</x:v>
      </x:c>
    </x:row>
    <x:row r="34">
      <x:c r="A34" s="24" t="str">
        <x:v>P5.05</x:v>
      </x:c>
      <x:c r="B34" s="25" t="str">
        <x:v>S5</x:v>
      </x:c>
      <x:c r="C34" s="25" t="str">
        <x:v>未及时发送装运通知</x:v>
      </x:c>
      <x:c r="D34" s="25" t="str">
        <x:v>Failure to send shipping advice</x:v>
      </x:c>
      <x:c r="E34" s="25" t="str">
        <x:v>未及时通知买方、保险人或银行，进而阻碍承保、付款或提货。</x:v>
      </x:c>
      <x:c r="F34" s="25" t="str">
        <x:v>Buyer, insurer, or bank is not notified in time, blocking cover, payment, or pickup.</x:v>
      </x:c>
      <x:c r="G34" s="25" t="str">
        <x:v>高</x:v>
      </x:c>
      <x:c r="H34" s="25" t="str">
        <x:v>中</x:v>
      </x:c>
      <x:c r="I34" s="26" t="str">
        <x:v>漏发装运通知</x:v>
      </x:c>
    </x:row>
    <x:row r="35">
      <x:c r="A35" s="24" t="str">
        <x:v>P5.06</x:v>
      </x:c>
      <x:c r="B35" s="25" t="str">
        <x:v>S5</x:v>
      </x:c>
      <x:c r="C35" s="25" t="str">
        <x:v>包装环保或监管不合规</x:v>
      </x:c>
      <x:c r="D35" s="25" t="str">
        <x:v>Environmental / regulatory packing non-compliance</x:v>
      </x:c>
      <x:c r="E35" s="25" t="str">
        <x:v>木质包装、塑料或标签违反 ISPM 15 或目的地绿色规则。</x:v>
      </x:c>
      <x:c r="F35" s="25" t="str">
        <x:v>Wood packing, plastics, or labelling violate ISPM-15 or destination green rules.</x:v>
      </x:c>
      <x:c r="G35" s="25" t="str">
        <x:v>高</x:v>
      </x:c>
      <x:c r="H35" s="25" t="str">
        <x:v>中</x:v>
      </x:c>
      <x:c r="I35" s="26" t="str">
        <x:v>包装不合规</x:v>
      </x:c>
    </x:row>
    <x:row r="36">
      <x:c r="A36" s="24" t="str">
        <x:v>P5.07</x:v>
      </x:c>
      <x:c r="B36" s="25" t="str">
        <x:v>S5</x:v>
      </x:c>
      <x:c r="C36" s="25" t="str">
        <x:v>海关与货代协同失败</x:v>
      </x:c>
      <x:c r="D36" s="25" t="str">
        <x:v>Customs and forwarder coordination failure</x:v>
      </x:c>
      <x:c r="E36" s="25" t="str">
        <x:v>报关行、货代与托运人未能对齐单证，导致集装箱滞港。</x:v>
      </x:c>
      <x:c r="F36" s="25" t="str">
        <x:v>Broker, forwarder, and shipper do not align documents, so the box sits at the port.</x:v>
      </x:c>
      <x:c r="G36" s="25" t="str">
        <x:v>高</x:v>
      </x:c>
      <x:c r="H36" s="25" t="str">
        <x:v>高</x:v>
      </x:c>
      <x:c r="I36" s="26" t="str">
        <x:v>关代失协</x:v>
      </x:c>
    </x:row>
    <x:row r="37">
      <x:c r="A37" s="24" t="str">
        <x:v>P5.08</x:v>
      </x:c>
      <x:c r="B37" s="25" t="str">
        <x:v>S5</x:v>
      </x:c>
      <x:c r="C37" s="25" t="str">
        <x:v>包装色彩或符号触犯文化禁忌</x:v>
      </x:c>
      <x:c r="D37" s="25" t="str">
        <x:v>Cultural taboos in packing colours or symbols</x:v>
      </x:c>
      <x:c r="E37" s="25" t="str">
        <x:v>外包装颜色、数字或图案冒犯目的地市场的文化与宗教习惯。</x:v>
      </x:c>
      <x:c r="F37" s="25" t="str">
        <x:v>Colour, number, or motif on the outer pack offends the destination market.</x:v>
      </x:c>
      <x:c r="G37" s="25" t="str">
        <x:v>低</x:v>
      </x:c>
      <x:c r="H37" s="25" t="str">
        <x:v>低</x:v>
      </x:c>
      <x:c r="I37" s="26" t="str">
        <x:v>包装文化禁忌</x:v>
      </x:c>
    </x:row>
    <x:row r="38">
      <x:c r="A38" s="24" t="str">
        <x:v>P6.01</x:v>
      </x:c>
      <x:c r="B38" s="25" t="str">
        <x:v>S6</x:v>
      </x:c>
      <x:c r="C38" s="25" t="str">
        <x:v>付款方式谈判僵局</x:v>
      </x:c>
      <x:c r="D38" s="25" t="str">
        <x:v>Deadlock on payment method</x:v>
      </x:c>
      <x:c r="E38" s="25" t="str">
        <x:v>双方在 L/C、T/T 与托收之间僵持，各自拒绝承担相应风险。</x:v>
      </x:c>
      <x:c r="F38" s="25" t="str">
        <x:v>Parties stall between L/C, T/T, and collection, each citing risk they will not bear.</x:v>
      </x:c>
      <x:c r="G38" s="25" t="str">
        <x:v>高</x:v>
      </x:c>
      <x:c r="H38" s="25" t="str">
        <x:v>高</x:v>
      </x:c>
      <x:c r="I38" s="26" t="str">
        <x:v>付款僵局</x:v>
      </x:c>
    </x:row>
    <x:row r="39">
      <x:c r="A39" s="24" t="str">
        <x:v>P6.02</x:v>
      </x:c>
      <x:c r="B39" s="25" t="str">
        <x:v>S6</x:v>
      </x:c>
      <x:c r="C39" s="25" t="str">
        <x:v>信用证不符点导致拒付</x:v>
      </x:c>
      <x:c r="D39" s="25" t="str">
        <x:v>L/C discrepancies causing non-payment</x:v>
      </x:c>
      <x:c r="E39" s="25" t="str">
        <x:v>单据未通过严格相符审查，即使货物合格，银行仍可能拒付。</x:v>
      </x:c>
      <x:c r="F39" s="25" t="str">
        <x:v>Documents fail a strict-compliance check; the bank refuses, even if goods are fine.</x:v>
      </x:c>
      <x:c r="G39" s="25" t="str">
        <x:v>高</x:v>
      </x:c>
      <x:c r="H39" s="25" t="str">
        <x:v>高</x:v>
      </x:c>
      <x:c r="I39" s="26" t="str">
        <x:v>信用证拒付</x:v>
      </x:c>
    </x:row>
    <x:row r="40">
      <x:c r="A40" s="24" t="str">
        <x:v>P6.03</x:v>
      </x:c>
      <x:c r="B40" s="25" t="str">
        <x:v>S6</x:v>
      </x:c>
      <x:c r="C40" s="25" t="str">
        <x:v>汇率波动侵蚀利润</x:v>
      </x:c>
      <x:c r="D40" s="25" t="str">
        <x:v>Exchange-rate swings eroding margin</x:v>
      </x:c>
      <x:c r="E40" s="25" t="str">
        <x:v>报价币种在发盘至收款期间波动，吞噬预期利润。</x:v>
      </x:c>
      <x:c r="F40" s="25" t="str">
        <x:v>Quote currency moves between offer and collection, wiping the intended profit.</x:v>
      </x:c>
      <x:c r="G40" s="25" t="str">
        <x:v>高</x:v>
      </x:c>
      <x:c r="H40" s="25" t="str">
        <x:v>高</x:v>
      </x:c>
      <x:c r="I40" s="26" t="str">
        <x:v>汇率侵蚀</x:v>
      </x:c>
    </x:row>
    <x:row r="41">
      <x:c r="A41" s="24" t="str">
        <x:v>P6.04</x:v>
      </x:c>
      <x:c r="B41" s="25" t="str">
        <x:v>S6</x:v>
      </x:c>
      <x:c r="C41" s="25" t="str">
        <x:v>T/T 余款拖延或信用被滥用</x:v>
      </x:c>
      <x:c r="D41" s="25" t="str">
        <x:v>Delayed T/T balance or abused credit</x:v>
      </x:c>
      <x:c r="E41" s="25" t="str">
        <x:v>定金已付，但余款、D/A 或赊销账期被反复拖延甚至违约。</x:v>
      </x:c>
      <x:c r="F41" s="25" t="str">
        <x:v>Deposit is paid, but the balance, D/A, or open-account term is stretched or defaulted.</x:v>
      </x:c>
      <x:c r="G41" s="25" t="str">
        <x:v>高</x:v>
      </x:c>
      <x:c r="H41" s="25" t="str">
        <x:v>中</x:v>
      </x:c>
      <x:c r="I41" s="26" t="str">
        <x:v>余款拖欠</x:v>
      </x:c>
    </x:row>
    <x:row r="42">
      <x:c r="A42" s="24" t="str">
        <x:v>P6.05</x:v>
      </x:c>
      <x:c r="B42" s="25" t="str">
        <x:v>S6</x:v>
      </x:c>
      <x:c r="C42" s="25" t="str">
        <x:v>交付迟延构成违约</x:v>
      </x:c>
      <x:c r="D42" s="25" t="str">
        <x:v>Delivery delay constituting breach</x:v>
      </x:c>
      <x:c r="E42" s="25" t="str">
        <x:v>货物超出合同期限交付，且不存在有效免责事由。</x:v>
      </x:c>
      <x:c r="F42" s="25" t="str">
        <x:v>Goods are late beyond the contractual window without a valid exemption.</x:v>
      </x:c>
      <x:c r="G42" s="25" t="str">
        <x:v>高</x:v>
      </x:c>
      <x:c r="H42" s="25" t="str">
        <x:v>中</x:v>
      </x:c>
      <x:c r="I42" s="26" t="str">
        <x:v>迟延交付</x:v>
      </x:c>
    </x:row>
    <x:row r="43">
      <x:c r="A43" s="24" t="str">
        <x:v>P6.06</x:v>
      </x:c>
      <x:c r="B43" s="25" t="str">
        <x:v>S6</x:v>
      </x:c>
      <x:c r="C43" s="25" t="str">
        <x:v>交付验收标准争议</x:v>
      </x:c>
      <x:c r="D43" s="25" t="str">
        <x:v>Dispute over delivery acceptance standards</x:v>
      </x:c>
      <x:c r="E43" s="25" t="str">
        <x:v>双方对所选贸易条件下何为“已交付”或“已接受”理解不一。</x:v>
      </x:c>
      <x:c r="F43" s="25" t="str">
        <x:v>Parties disagree on what 'delivered' or 'accepted' means under the chosen term.</x:v>
      </x:c>
      <x:c r="G43" s="25" t="str">
        <x:v>中</x:v>
      </x:c>
      <x:c r="H43" s="25" t="str">
        <x:v>中</x:v>
      </x:c>
      <x:c r="I43" s="26" t="str">
        <x:v>验收争议</x:v>
      </x:c>
    </x:row>
    <x:row r="44">
      <x:c r="A44" s="24" t="str">
        <x:v>P6.07</x:v>
      </x:c>
      <x:c r="B44" s="25" t="str">
        <x:v>S6</x:v>
      </x:c>
      <x:c r="C44" s="25" t="str">
        <x:v>混合付款方案设计不当</x:v>
      </x:c>
      <x:c r="D44" s="25" t="str">
        <x:v>Poorly designed hybrid payment</x:v>
      </x:c>
      <x:c r="E44" s="25" t="str">
        <x:v>例如 30% T/T 加 70% L/C 的方案缺少触发条件、单据清单或汇率安排。</x:v>
      </x:c>
      <x:c r="F44" s="25" t="str">
        <x:v>A split (e.g. 30% T/T + 70% L/C) is sketched without triggers, documents, or FX cover.</x:v>
      </x:c>
      <x:c r="G44" s="25" t="str">
        <x:v>中</x:v>
      </x:c>
      <x:c r="H44" s="25" t="str">
        <x:v>中</x:v>
      </x:c>
      <x:c r="I44" s="26" t="str">
        <x:v>混合付款失当</x:v>
      </x:c>
    </x:row>
    <x:row r="45">
      <x:c r="A45" s="24" t="str">
        <x:v>P7.01</x:v>
      </x:c>
      <x:c r="B45" s="25" t="str">
        <x:v>S7</x:v>
      </x:c>
      <x:c r="C45" s="25" t="str">
        <x:v>检验地点与时间争议</x:v>
      </x:c>
      <x:c r="D45" s="25" t="str">
        <x:v>Disagreement on inspection place and time</x:v>
      </x:c>
      <x:c r="E45" s="25" t="str">
        <x:v>FOB 卖方倾向产地检验，而 CIF/DDP 买方倾向目的地检验。</x:v>
      </x:c>
      <x:c r="F45" s="25" t="str">
        <x:v>FOB seller wants origin inspection; CIF/DDP buyer wants destination inspection.</x:v>
      </x:c>
      <x:c r="G45" s="25" t="str">
        <x:v>高</x:v>
      </x:c>
      <x:c r="H45" s="25" t="str">
        <x:v>高</x:v>
      </x:c>
      <x:c r="I45" s="26" t="str">
        <x:v>检验时地争议</x:v>
      </x:c>
    </x:row>
    <x:row r="46">
      <x:c r="A46" s="24" t="str">
        <x:v>P7.02</x:v>
      </x:c>
      <x:c r="B46" s="25" t="str">
        <x:v>S7</x:v>
      </x:c>
      <x:c r="C46" s="25" t="str">
        <x:v>检验标准相互冲突</x:v>
      </x:c>
      <x:c r="D46" s="25" t="str">
        <x:v>Conflicting inspection standards</x:v>
      </x:c>
      <x:c r="E46" s="25" t="str">
        <x:v>买方国家标准、卖方工厂标准和合同标准彼此不一致。</x:v>
      </x:c>
      <x:c r="F46" s="25" t="str">
        <x:v>Buyer’s national standard, seller’s factory standard, and the contract standard diverge.</x:v>
      </x:c>
      <x:c r="G46" s="25" t="str">
        <x:v>高</x:v>
      </x:c>
      <x:c r="H46" s="25" t="str">
        <x:v>高</x:v>
      </x:c>
      <x:c r="I46" s="26" t="str">
        <x:v>检验标准冲突</x:v>
      </x:c>
    </x:row>
    <x:row r="47">
      <x:c r="A47" s="24" t="str">
        <x:v>P7.03</x:v>
      </x:c>
      <x:c r="B47" s="25" t="str">
        <x:v>S7</x:v>
      </x:c>
      <x:c r="C47" s="25" t="str">
        <x:v>证书不符阻碍付款</x:v>
      </x:c>
      <x:c r="D47" s="25" t="str">
        <x:v>Certificate discrepancies blocking payment</x:v>
      </x:c>
      <x:c r="E47" s="25" t="str">
        <x:v>检验证书数据与信用证、发票或装箱单不一致。</x:v>
      </x:c>
      <x:c r="F47" s="25" t="str">
        <x:v>Inspection certificate data do not match the L/C, invoice, or packing list.</x:v>
      </x:c>
      <x:c r="G47" s="25" t="str">
        <x:v>高</x:v>
      </x:c>
      <x:c r="H47" s="25" t="str">
        <x:v>中</x:v>
      </x:c>
      <x:c r="I47" s="26" t="str">
        <x:v>检验证书不符</x:v>
      </x:c>
    </x:row>
    <x:row r="48">
      <x:c r="A48" s="24" t="str">
        <x:v>P7.04</x:v>
      </x:c>
      <x:c r="B48" s="25" t="str">
        <x:v>S7</x:v>
      </x:c>
      <x:c r="C48" s="25" t="str">
        <x:v>检验费用承担争议</x:v>
      </x:c>
      <x:c r="D48" s="25" t="str">
        <x:v>Dispute over who bears inspection cost</x:v>
      </x:c>
      <x:c r="E48" s="25" t="str">
        <x:v>合同未明确 SGS/CCIC 检验费，尤其未约定复验费用。</x:v>
      </x:c>
      <x:c r="F48" s="25" t="str">
        <x:v>Contract is silent on SGS/CCIC fees, especially for re-inspection.</x:v>
      </x:c>
      <x:c r="G48" s="25" t="str">
        <x:v>低</x:v>
      </x:c>
      <x:c r="H48" s="25" t="str">
        <x:v>中</x:v>
      </x:c>
      <x:c r="I48" s="26" t="str">
        <x:v>检验费争议</x:v>
      </x:c>
    </x:row>
    <x:row r="49">
      <x:c r="A49" s="24" t="str">
        <x:v>P7.05</x:v>
      </x:c>
      <x:c r="B49" s="25" t="str">
        <x:v>S7</x:v>
      </x:c>
      <x:c r="C49" s="25" t="str">
        <x:v>产地检验合格但目的地不合格</x:v>
      </x:c>
      <x:c r="D49" s="25" t="str">
        <x:v>Passed at origin, failed at destination</x:v>
      </x:c>
      <x:c r="E49" s="25" t="str">
        <x:v>货物通过装运前检验，却因损坏、规格或抽样问题在到货后不合格。</x:v>
      </x:c>
      <x:c r="F49" s="25" t="str">
        <x:v>Cargo clears pre-shipment inspection then fails on arrival (damage, spec, or sampling).</x:v>
      </x:c>
      <x:c r="G49" s="25" t="str">
        <x:v>高</x:v>
      </x:c>
      <x:c r="H49" s="25" t="str">
        <x:v>中</x:v>
      </x:c>
      <x:c r="I49" s="26" t="str">
        <x:v>到货复验不合格</x:v>
      </x:c>
    </x:row>
    <x:row r="50">
      <x:c r="A50" s="24" t="str">
        <x:v>P7.06</x:v>
      </x:c>
      <x:c r="B50" s="25" t="str">
        <x:v>S7</x:v>
      </x:c>
      <x:c r="C50" s="25" t="str">
        <x:v>抽样方法争议</x:v>
      </x:c>
      <x:c r="D50" s="25" t="str">
        <x:v>Sampling-method disputes</x:v>
      </x:c>
      <x:c r="E50" s="25" t="str">
        <x:v>双方对批量、AQL 或样品能否代表整批货物发生争议。</x:v>
      </x:c>
      <x:c r="F50" s="25" t="str">
        <x:v>Parties contest lot size, AQL, or whether a sample represents the shipment.</x:v>
      </x:c>
      <x:c r="G50" s="25" t="str">
        <x:v>中</x:v>
      </x:c>
      <x:c r="H50" s="25" t="str">
        <x:v>中</x:v>
      </x:c>
      <x:c r="I50" s="26" t="str">
        <x:v>抽样争议</x:v>
      </x:c>
    </x:row>
    <x:row r="51">
      <x:c r="A51" s="24" t="str">
        <x:v>P7.07</x:v>
      </x:c>
      <x:c r="B51" s="25" t="str">
        <x:v>S7</x:v>
      </x:c>
      <x:c r="C51" s="25" t="str">
        <x:v>多国认证或环保测试失败</x:v>
      </x:c>
      <x:c r="D51" s="25" t="str">
        <x:v>Multi-country certification / environmental-test failure</x:v>
      </x:c>
      <x:c r="E51" s="25" t="str">
        <x:v>CE、FDA、REACH 或目的地实验室测试未被纳入交付周期规划。</x:v>
      </x:c>
      <x:c r="F51" s="25" t="str">
        <x:v>CE, FDA, REACH, or destination lab tests were not planned into the lead time.</x:v>
      </x:c>
      <x:c r="G51" s="25" t="str">
        <x:v>高</x:v>
      </x:c>
      <x:c r="H51" s="25" t="str">
        <x:v>中</x:v>
      </x:c>
      <x:c r="I51" s="26" t="str">
        <x:v>认证测试失败</x:v>
      </x:c>
    </x:row>
    <x:row r="52">
      <x:c r="A52" s="24" t="str">
        <x:v>P8.01</x:v>
      </x:c>
      <x:c r="B52" s="25" t="str">
        <x:v>S8</x:v>
      </x:c>
      <x:c r="C52" s="25" t="str">
        <x:v>不足额投保或险别与术语不匹配</x:v>
      </x:c>
      <x:c r="D52" s="25" t="str">
        <x:v>Under-insurance or cover mismatched to Incoterms</x:v>
      </x:c>
      <x:c r="E52" s="25" t="str">
        <x:v>FOB 买方忘记投保，或 CIF 卖方仅投最低险别而实际需要一切险。</x:v>
      </x:c>
      <x:c r="F52" s="25" t="str">
        <x:v>FOB buyer forgets to insure, or CIF seller buys Min. cover when All Risks was needed.</x:v>
      </x:c>
      <x:c r="G52" s="25" t="str">
        <x:v>高</x:v>
      </x:c>
      <x:c r="H52" s="25" t="str">
        <x:v>高</x:v>
      </x:c>
      <x:c r="I52" s="26" t="str">
        <x:v>投保不匹配</x:v>
      </x:c>
    </x:row>
    <x:row r="53">
      <x:c r="A53" s="24" t="str">
        <x:v>P8.02</x:v>
      </x:c>
      <x:c r="B53" s="25" t="str">
        <x:v>S8</x:v>
      </x:c>
      <x:c r="C53" s="25" t="str">
        <x:v>索赔因程序或免赔额被拒</x:v>
      </x:c>
      <x:c r="D53" s="25" t="str">
        <x:v>Claim rejected on procedure or deductible</x:v>
      </x:c>
      <x:c r="E53" s="25" t="str">
        <x:v>通知、检验或文件逾期，或损失金额落在免赔额以内。</x:v>
      </x:c>
      <x:c r="F53" s="25" t="str">
        <x:v>Notice, survey, or documents are late; or the loss sits inside the deductible.</x:v>
      </x:c>
      <x:c r="G53" s="25" t="str">
        <x:v>高</x:v>
      </x:c>
      <x:c r="H53" s="25" t="str">
        <x:v>中</x:v>
      </x:c>
      <x:c r="I53" s="26" t="str">
        <x:v>保险拒赔</x:v>
      </x:c>
    </x:row>
    <x:row r="54">
      <x:c r="A54" s="24" t="str">
        <x:v>P8.03</x:v>
      </x:c>
      <x:c r="B54" s="25" t="str">
        <x:v>S8</x:v>
      </x:c>
      <x:c r="C54" s="25" t="str">
        <x:v>仲裁条款缺失或含糊</x:v>
      </x:c>
      <x:c r="D54" s="25" t="str">
        <x:v>Missing or ambiguous arbitration clause</x:v>
      </x:c>
      <x:c r="E54" s="25" t="str">
        <x:v>合同未写明仲裁地、规则或机构，使管辖问题演变成第二场争议。</x:v>
      </x:c>
      <x:c r="F54" s="25" t="str">
        <x:v>Contract has no seat, rules, or institution, so jurisdiction becomes a second dispute.</x:v>
      </x:c>
      <x:c r="G54" s="25" t="str">
        <x:v>高</x:v>
      </x:c>
      <x:c r="H54" s="25" t="str">
        <x:v>中</x:v>
      </x:c>
      <x:c r="I54" s="26" t="str">
        <x:v>仲裁条款缺陷</x:v>
      </x:c>
    </x:row>
    <x:row r="55">
      <x:c r="A55" s="24" t="str">
        <x:v>P8.04</x:v>
      </x:c>
      <x:c r="B55" s="25" t="str">
        <x:v>S8</x:v>
      </x:c>
      <x:c r="C55" s="25" t="str">
        <x:v>仲裁地不当导致裁决难执行</x:v>
      </x:c>
      <x:c r="D55" s="25" t="str">
        <x:v>Wrong seat / award hard to enforce</x:v>
      </x:c>
      <x:c r="E55" s="25" t="str">
        <x:v>仲裁地与《纽约公约》执行路径或对方资产所在地衔接不良。</x:v>
      </x:c>
      <x:c r="F55" s="25" t="str">
        <x:v>Arbitration is seated where the New York Convention path is weak or assets are absent.</x:v>
      </x:c>
      <x:c r="G55" s="25" t="str">
        <x:v>高</x:v>
      </x:c>
      <x:c r="H55" s="25" t="str">
        <x:v>低</x:v>
      </x:c>
      <x:c r="I55" s="26" t="str">
        <x:v>裁决难执行</x:v>
      </x:c>
    </x:row>
    <x:row r="56">
      <x:c r="A56" s="24" t="str">
        <x:v>P8.05</x:v>
      </x:c>
      <x:c r="B56" s="25" t="str">
        <x:v>S8</x:v>
      </x:c>
      <x:c r="C56" s="25" t="str">
        <x:v>诉讼与仲裁选择分歧</x:v>
      </x:c>
      <x:c r="D56" s="25" t="str">
        <x:v>Split on litigation vs arbitration</x:v>
      </x:c>
      <x:c r="E56" s="25" t="str">
        <x:v>不同文化对法院和私人仲裁的偏好不同，谈判在争议解决条款上停滞。</x:v>
      </x:c>
      <x:c r="F56" s="25" t="str">
        <x:v>Cultures differ on court vs private tribunal; talks stall on the dispute clause itself.</x:v>
      </x:c>
      <x:c r="G56" s="25" t="str">
        <x:v>中</x:v>
      </x:c>
      <x:c r="H56" s="25" t="str">
        <x:v>中</x:v>
      </x:c>
      <x:c r="I56" s="26" t="str">
        <x:v>争议路径分歧</x:v>
      </x:c>
    </x:row>
    <x:row r="57">
      <x:c r="A57" s="24" t="str">
        <x:v>P8.06</x:v>
      </x:c>
      <x:c r="B57" s="25" t="str">
        <x:v>S8</x:v>
      </x:c>
      <x:c r="C57" s="25" t="str">
        <x:v>保险损失与不可抗力混淆</x:v>
      </x:c>
      <x:c r="D57" s="25" t="str">
        <x:v>Insurance–force majeure overlap confusion</x:v>
      </x:c>
      <x:c r="E57" s="25" t="str">
        <x:v>一方把应由保险覆盖的运输损失误作不可抗力，或反向混淆。</x:v>
      </x:c>
      <x:c r="F57" s="25" t="str">
        <x:v>A party treats an insured transit loss as force majeure, or vice versa.</x:v>
      </x:c>
      <x:c r="G57" s="25" t="str">
        <x:v>高</x:v>
      </x:c>
      <x:c r="H57" s="25" t="str">
        <x:v>低</x:v>
      </x:c>
      <x:c r="I57" s="26" t="str">
        <x:v>保险不可抗力混淆</x:v>
      </x:c>
    </x:row>
    <x:row r="58">
      <x:c r="A58" s="24" t="str">
        <x:v>P8.07</x:v>
      </x:c>
      <x:c r="B58" s="25" t="str">
        <x:v>S8</x:v>
      </x:c>
      <x:c r="C58" s="25" t="str">
        <x:v>仲裁成本与周期失控</x:v>
      </x:c>
      <x:c r="D58" s="25" t="str">
        <x:v>Arbitration cost and time overrun</x:v>
      </x:c>
      <x:c r="E58" s="25" t="str">
        <x:v>仲裁庭、翻译和证据披露的成本甚至超过争议金额。</x:v>
      </x:c>
      <x:c r="F58" s="25" t="str">
        <x:v>Tribunal, translations, and discovery consume more than the amount in dispute.</x:v>
      </x:c>
      <x:c r="G58" s="25" t="str">
        <x:v>中</x:v>
      </x:c>
      <x:c r="H58" s="25" t="str">
        <x:v>低</x:v>
      </x:c>
      <x:c r="I58" s="26" t="str">
        <x:v>仲裁成本失控</x:v>
      </x:c>
    </x:row>
    <x:row r="59">
      <x:c r="A59" s="24" t="str">
        <x:v>P9.01</x:v>
      </x:c>
      <x:c r="B59" s="25" t="str">
        <x:v>S9</x:v>
      </x:c>
      <x:c r="C59" s="25" t="str">
        <x:v>到货质量或数量投诉</x:v>
      </x:c>
      <x:c r="D59" s="25" t="str">
        <x:v>Quality or quantity complaint on arrival</x:v>
      </x:c>
      <x:c r="E59" s="25" t="str">
        <x:v>买方在卸货后主张短重、损坏或规格不符。</x:v>
      </x:c>
      <x:c r="F59" s="25" t="str">
        <x:v>Buyer alleges short weight, damage, or spec gap after discharge.</x:v>
      </x:c>
      <x:c r="G59" s="25" t="str">
        <x:v>高</x:v>
      </x:c>
      <x:c r="H59" s="25" t="str">
        <x:v>高</x:v>
      </x:c>
      <x:c r="I59" s="26" t="str">
        <x:v>到货货损货差</x:v>
      </x:c>
    </x:row>
    <x:row r="60">
      <x:c r="A60" s="24" t="str">
        <x:v>P9.02</x:v>
      </x:c>
      <x:c r="B60" s="25" t="str">
        <x:v>S9</x:v>
      </x:c>
      <x:c r="C60" s="25" t="str">
        <x:v>情绪化投诉升级与声誉风险</x:v>
      </x:c>
      <x:c r="D60" s="25" t="str">
        <x:v>Escalating emotional complaint / reputation risk</x:v>
      </x:c>
      <x:c r="E60" s="25" t="str">
        <x:v>事实尚未查清，服务问题已经公开化、个人化或在网络扩散。</x:v>
      </x:c>
      <x:c r="F60" s="25" t="str">
        <x:v>A service failure becomes public, personal, or viral before facts are established.</x:v>
      </x:c>
      <x:c r="G60" s="25" t="str">
        <x:v>中</x:v>
      </x:c>
      <x:c r="H60" s="25" t="str">
        <x:v>中</x:v>
      </x:c>
      <x:c r="I60" s="26" t="str">
        <x:v>投诉舆情升级</x:v>
      </x:c>
    </x:row>
    <x:row r="61">
      <x:c r="A61" s="24" t="str">
        <x:v>P9.03</x:v>
      </x:c>
      <x:c r="B61" s="25" t="str">
        <x:v>S9</x:v>
      </x:c>
      <x:c r="C61" s="25" t="str">
        <x:v>超过时效提出索赔</x:v>
      </x:c>
      <x:c r="D61" s="25" t="str">
        <x:v>Claim filed after limitation period</x:v>
      </x:c>
      <x:c r="E61" s="25" t="str">
        <x:v>通知或诉讼超过合同、《海牙—维斯比规则》或当地法律规定的期限。</x:v>
      </x:c>
      <x:c r="F61" s="25" t="str">
        <x:v>Notice or suit is out of time under the contract, Hague-Visby, or local law.</x:v>
      </x:c>
      <x:c r="G61" s="25" t="str">
        <x:v>高</x:v>
      </x:c>
      <x:c r="H61" s="25" t="str">
        <x:v>低</x:v>
      </x:c>
      <x:c r="I61" s="26" t="str">
        <x:v>索赔过期</x:v>
      </x:c>
    </x:row>
    <x:row r="62">
      <x:c r="A62" s="24" t="str">
        <x:v>P9.04</x:v>
      </x:c>
      <x:c r="B62" s="25" t="str">
        <x:v>S9</x:v>
      </x:c>
      <x:c r="C62" s="25" t="str">
        <x:v>证据链断裂</x:v>
      </x:c>
      <x:c r="D62" s="25" t="str">
        <x:v>Broken evidence chain</x:v>
      </x:c>
      <x:c r="E62" s="25" t="str">
        <x:v>照片、检验报告、封志或温度记录缺失、被修改或无法相互印证。</x:v>
      </x:c>
      <x:c r="F62" s="25" t="str">
        <x:v>Photos, surveys, seals, or temperature logs are missing, altered, or unlinked.</x:v>
      </x:c>
      <x:c r="G62" s="25" t="str">
        <x:v>高</x:v>
      </x:c>
      <x:c r="H62" s="25" t="str">
        <x:v>中</x:v>
      </x:c>
      <x:c r="I62" s="26" t="str">
        <x:v>证据链断裂</x:v>
      </x:c>
    </x:row>
    <x:row r="63">
      <x:c r="A63" s="24" t="str">
        <x:v>P9.05</x:v>
      </x:c>
      <x:c r="B63" s="25" t="str">
        <x:v>S9</x:v>
      </x:c>
      <x:c r="C63" s="25" t="str">
        <x:v>不当援引不可抗力</x:v>
      </x:c>
      <x:c r="D63" s="25" t="str">
        <x:v>Improper invocation of force majeure</x:v>
      </x:c>
      <x:c r="E63" s="25" t="str">
        <x:v>把成本上涨、一般迟延或可预见事件包装成不可抗力。</x:v>
      </x:c>
      <x:c r="F63" s="25" t="str">
        <x:v>A cost spike, ordinary delay, or foreseeable event is dressed up as FM.</x:v>
      </x:c>
      <x:c r="G63" s="25" t="str">
        <x:v>高</x:v>
      </x:c>
      <x:c r="H63" s="25" t="str">
        <x:v>中</x:v>
      </x:c>
      <x:c r="I63" s="26" t="str">
        <x:v>滥用不可抗力</x:v>
      </x:c>
    </x:row>
    <x:row r="64">
      <x:c r="A64" s="24" t="str">
        <x:v>P9.06</x:v>
      </x:c>
      <x:c r="B64" s="25" t="str">
        <x:v>S9</x:v>
      </x:c>
      <x:c r="C64" s="25" t="str">
        <x:v>赔偿金额谈判僵局</x:v>
      </x:c>
      <x:c r="D64" s="25" t="str">
        <x:v>Deadlock on compensation amount</x:v>
      </x:c>
      <x:c r="E64" s="25" t="str">
        <x:v>双方原则上承认责任，却无法就金额、利息或币种达成一致。</x:v>
      </x:c>
      <x:c r="F64" s="25" t="str">
        <x:v>Parties agree liability in principle but not quantum, interest, or currency.</x:v>
      </x:c>
      <x:c r="G64" s="25" t="str">
        <x:v>中</x:v>
      </x:c>
      <x:c r="H64" s="25" t="str">
        <x:v>高</x:v>
      </x:c>
      <x:c r="I64" s="26" t="str">
        <x:v>赔偿金额僵局</x:v>
      </x:c>
    </x:row>
    <x:row r="65">
      <x:c r="A65" s="24" t="str">
        <x:v>P9.07</x:v>
      </x:c>
      <x:c r="B65" s="25" t="str">
        <x:v>S9</x:v>
      </x:c>
      <x:c r="C65" s="25" t="str">
        <x:v>承运人与卖方责任混淆</x:v>
      </x:c>
      <x:c r="D65" s="25" t="str">
        <x:v>Carrier vs seller liability confusion</x:v>
      </x:c>
      <x:c r="E65" s="25" t="str">
        <x:v>运输损失本应向承运人或保险人主张，却错误地向卖方索赔。</x:v>
      </x:c>
      <x:c r="F65" s="25" t="str">
        <x:v>Loss in transit is claimed against the seller when the carrier (or insurer) is the proper target.</x:v>
      </x:c>
      <x:c r="G65" s="25" t="str">
        <x:v>高</x:v>
      </x:c>
      <x:c r="H65" s="25" t="str">
        <x:v>中</x:v>
      </x:c>
      <x:c r="I65" s="26" t="str">
        <x:v>索赔对象错误</x:v>
      </x:c>
    </x:row>
    <x:row r="66">
      <x:c r="A66" s="24" t="str">
        <x:v>P9.08</x:v>
      </x:c>
      <x:c r="B66" s="25" t="str">
        <x:v>S9</x:v>
      </x:c>
      <x:c r="C66" s="25" t="str">
        <x:v>跨文化投诉处理失当</x:v>
      </x:c>
      <x:c r="D66" s="25" t="str">
        <x:v>Cross-cultural mishandling of complaints</x:v>
      </x:c>
      <x:c r="E66" s="25" t="str">
        <x:v>直接承认、拖延回应或公开道歉被错误地套用到不合适的文化语境。</x:v>
      </x:c>
      <x:c r="F66" s="25" t="str">
        <x:v>Direct admission, delay, or public apology is applied in the wrong cultural script.</x:v>
      </x:c>
      <x:c r="G66" s="25" t="str">
        <x:v>中</x:v>
      </x:c>
      <x:c r="H66" s="25" t="str">
        <x:v>中</x:v>
      </x:c>
      <x:c r="I66" s="26" t="str">
        <x:v>跨文化投诉失当</x:v>
      </x:c>
    </x:row>
    <x:row r="67">
      <x:c r="A67" s="27" t="str">
        <x:v>P9.09</x:v>
      </x:c>
      <x:c r="B67" s="28" t="str">
        <x:v>S9</x:v>
      </x:c>
      <x:c r="C67" s="28" t="str">
        <x:v>重复投诉但未解决根因</x:v>
      </x:c>
      <x:c r="D67" s="28" t="str">
        <x:v>Repeated complaints with no root-cause fix</x:v>
      </x:c>
      <x:c r="E67" s="28" t="str">
        <x:v>每次个案都被暂时安抚，造成问题的流程缺陷却始终没有关闭。</x:v>
      </x:c>
      <x:c r="F67" s="28" t="str">
        <x:v>Each case is soothed, but the process defect that caused it is never closed.</x:v>
      </x:c>
      <x:c r="G67" s="28" t="str">
        <x:v>中</x:v>
      </x:c>
      <x:c r="H67" s="28" t="str">
        <x:v>中</x:v>
      </x:c>
      <x:c r="I67" s="29" t="str">
        <x:v>投诉根因未闭环</x:v>
      </x:c>
    </x:row>
  </x:sheetData>
  <x:dataValidations count="2">
    <x:dataValidation type="list" sqref="G2:G500">
      <x:formula1>"高,中,低"</x:formula1>
    </x:dataValidation>
    <x:dataValidation type="list" sqref="H2:H50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623cc960041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36" hidden="0" customWidth="1"/>
    <x:col min="5" max="5" width="55" hidden="0" customWidth="1"/>
    <x:col min="6" max="6" width="62" hidden="0" customWidth="1"/>
    <x:col min="7" max="7" width="12" hidden="0" customWidth="1"/>
    <x:col min="8" max="8" width="42" hidden="0" customWidth="1"/>
    <x:col min="9" max="9" width="30" hidden="0" customWidth="1"/>
    <x:col min="10" max="10" width="18" hidden="0" customWidth="1"/>
  </x:cols>
  <x:sheetData>
    <x:row r="1" ht="30" customHeight="1">
      <x:c r="A1" s="21" t="str">
        <x:v>ResourceID</x:v>
      </x:c>
      <x:c r="B1" s="22" t="str">
        <x:v>Category</x:v>
      </x:c>
      <x:c r="C1" s="22" t="str">
        <x:v>ResourceNameZH</x:v>
      </x:c>
      <x:c r="D1" s="22" t="str">
        <x:v>ResourceNameEN</x:v>
      </x:c>
      <x:c r="E1" s="22" t="str">
        <x:v>DefinitionZH</x:v>
      </x:c>
      <x:c r="F1" s="22" t="str">
        <x:v>DefinitionEN</x:v>
      </x:c>
      <x:c r="G1" s="22" t="str">
        <x:v>HomeStageID</x:v>
      </x:c>
      <x:c r="H1" s="22" t="str">
        <x:v>LearningRequirement</x:v>
      </x:c>
      <x:c r="I1" s="22" t="str">
        <x:v>DisplayTiming</x:v>
      </x:c>
      <x:c r="J1" s="23" t="str">
        <x:v>ShortNameZH</x:v>
      </x:c>
    </x:row>
    <x:row r="2">
      <x:c r="A2" s="24" t="str">
        <x:v>K001</x:v>
      </x:c>
      <x:c r="B2" s="25" t="str">
        <x:v>概念</x:v>
      </x:c>
      <x:c r="C2" s="25" t="str">
        <x:v>询盘的定义</x:v>
      </x:c>
      <x:c r="D2" s="25" t="str">
        <x:v>Definition of inquiries</x:v>
      </x:c>
      <x:c r="E2" s="25" t="str">
        <x:v>询盘是就商品、价格、数量或条件请求信息的行为，它邀请进一步磋商，本身通常不产生承诺权。</x:v>
      </x:c>
      <x:c r="F2" s="25" t="str">
        <x:v>An inquiry is a request for information on goods, price, quantity, or terms. It invites negotiation; it does not, by itself, create a power of acceptance.</x:v>
      </x:c>
      <x:c r="G2" s="25" t="str">
        <x:v>S1</x:v>
      </x:c>
      <x:c r="H2" s="25" t="str">
        <x:v>能够解释该知识并在训练中识别其适用边界</x:v>
      </x:c>
      <x:c r="I2" s="25" t="str">
        <x:v>关卡支持库与每轮智能推荐</x:v>
      </x:c>
      <x:c r="J2" s="26" t="str">
        <x:v>询盘定义</x:v>
      </x:c>
    </x:row>
    <x:row r="3">
      <x:c r="A3" s="24" t="str">
        <x:v>K002</x:v>
      </x:c>
      <x:c r="B3" s="25" t="str">
        <x:v>概念</x:v>
      </x:c>
      <x:c r="C3" s="25" t="str">
        <x:v>询盘的类型</x:v>
      </x:c>
      <x:c r="D3" s="25" t="str">
        <x:v>Types of inquiries</x:v>
      </x:c>
      <x:c r="E3" s="25" t="str">
        <x:v>一般询盘用于广泛了解市场；具体询盘明确品名、规格、数量和目的地。类型选择会传递采购意图并影响信息暴露。</x:v>
      </x:c>
      <x:c r="F3" s="25" t="str">
        <x:v>General (broad) inquiries survey the market; specific (precise) inquiries name item, spec, quantity, and destination. Choice of type signals intent and controls information leakage.</x:v>
      </x:c>
      <x:c r="G3" s="25" t="str">
        <x:v>S1</x:v>
      </x:c>
      <x:c r="H3" s="25" t="str">
        <x:v>能够解释该知识并在训练中识别其适用边界</x:v>
      </x:c>
      <x:c r="I3" s="25" t="str">
        <x:v>关卡支持库与每轮智能推荐</x:v>
      </x:c>
      <x:c r="J3" s="26" t="str">
        <x:v>询盘类型</x:v>
      </x:c>
    </x:row>
    <x:row r="4">
      <x:c r="A4" s="24" t="str">
        <x:v>K003</x:v>
      </x:c>
      <x:c r="B4" s="25" t="str">
        <x:v>法律规则</x:v>
      </x:c>
      <x:c r="C4" s="25" t="str">
        <x:v>询盘的法律性质</x:v>
      </x:c>
      <x:c r="D4" s="25" t="str">
        <x:v>Legal nature of inquiries</x:v>
      </x:c>
      <x:c r="E4" s="25" t="str">
        <x:v>依 CISG 与普通法要约规则，询盘通常属于要约邀请；只有具备明确条款和受约束意图时才可能构成发盘。</x:v>
      </x:c>
      <x:c r="F4" s="25" t="str">
        <x:v>Under CISG and common-law offer doctrine, an inquiry is an invitation to treat. It is not an offer unless it contains definite terms and intent to be bound.</x:v>
      </x:c>
      <x:c r="G4" s="25" t="str">
        <x:v>S1</x:v>
      </x:c>
      <x:c r="H4" s="25" t="str">
        <x:v>能够解释该知识并在训练中识别其适用边界</x:v>
      </x:c>
      <x:c r="I4" s="25" t="str">
        <x:v>关卡支持库与每轮智能推荐</x:v>
      </x:c>
      <x:c r="J4" s="26" t="str">
        <x:v>询盘法律性质</x:v>
      </x:c>
    </x:row>
    <x:row r="5">
      <x:c r="A5" s="24" t="str">
        <x:v>K004</x:v>
      </x:c>
      <x:c r="B5" s="25" t="str">
        <x:v>法律规则</x:v>
      </x:c>
      <x:c r="C5" s="25" t="str">
        <x:v>询盘向发盘的转化</x:v>
      </x:c>
      <x:c r="D5" s="25" t="str">
        <x:v>Conversion from inquiry to offer</x:v>
      </x:c>
      <x:c r="E5" s="25" t="str">
        <x:v>当询盘或回复包含明确主要条款并显示承诺意图时，可能转化为发盘；尚无缔约意图时应审慎措辞。</x:v>
      </x:c>
      <x:c r="F5" s="25" t="str">
        <x:v>An inquiry (or a reply to one) converts into an offer if essential terms are definite and the language shows commitment. Guard wording when you do not yet intend to be bound.</x:v>
      </x:c>
      <x:c r="G5" s="25" t="str">
        <x:v>S1</x:v>
      </x:c>
      <x:c r="H5" s="25" t="str">
        <x:v>能够解释该知识并在训练中识别其适用边界</x:v>
      </x:c>
      <x:c r="I5" s="25" t="str">
        <x:v>关卡支持库与每轮智能推荐</x:v>
      </x:c>
      <x:c r="J5" s="26" t="str">
        <x:v>询盘转发盘</x:v>
      </x:c>
    </x:row>
    <x:row r="6">
      <x:c r="A6" s="24" t="str">
        <x:v>K007</x:v>
      </x:c>
      <x:c r="B6" s="25" t="str">
        <x:v>跨文化</x:v>
      </x:c>
      <x:c r="C6" s="25" t="str">
        <x:v>询盘礼仪与跨文化差异</x:v>
      </x:c>
      <x:c r="D6" s="25" t="str">
        <x:v>Inquiry etiquette and cross-cultural differences</x:v>
      </x:c>
      <x:c r="E6" s="25" t="str">
        <x:v>高语境文化重视关系线索、称谓和间接接触，低语境文化偏好简洁 RFQ；错配会被视为失礼或不专业。</x:v>
      </x:c>
      <x:c r="F6" s="25" t="str">
        <x:v>High-context cultures expect relationship cues, titles, and indirect first contact; low-context cultures expect a concise RFQ. Mismatch reads as rudeness or amateurism.</x:v>
      </x:c>
      <x:c r="G6" s="25" t="str">
        <x:v>S1</x:v>
      </x:c>
      <x:c r="H6" s="25" t="str">
        <x:v>能够解释该知识并在训练中识别其适用边界</x:v>
      </x:c>
      <x:c r="I6" s="25" t="str">
        <x:v>关卡支持库与每轮智能推荐</x:v>
      </x:c>
      <x:c r="J6" s="26" t="str">
        <x:v>询盘跨文化礼仪</x:v>
      </x:c>
    </x:row>
    <x:row r="7">
      <x:c r="A7" s="24" t="str">
        <x:v>K008</x:v>
      </x:c>
      <x:c r="B7" s="25" t="str">
        <x:v>商务函电</x:v>
      </x:c>
      <x:c r="C7" s="25" t="str">
        <x:v>询盘函结构与语言</x:v>
      </x:c>
      <x:c r="D7" s="25" t="str">
        <x:v>Structure and language of inquiry correspondence</x:v>
      </x:c>
      <x:c r="E7" s="25" t="str">
        <x:v>专业询盘应清楚写明身份、商品、规格、数量、目的地、关注条款及回复期限，并保持礼貌与无歧义。</x:v>
      </x:c>
      <x:c r="F7" s="25" t="str">
        <x:v>A professional inquiry states identity, item, spec, quantity, destination, terms of interest, and a reply-by date — in courteous, unambiguous English (or the counterpart’s language).</x:v>
      </x:c>
      <x:c r="G7" s="25" t="str">
        <x:v>S1</x:v>
      </x:c>
      <x:c r="H7" s="25" t="str">
        <x:v>能够解释该知识并在训练中识别其适用边界</x:v>
      </x:c>
      <x:c r="I7" s="25" t="str">
        <x:v>关卡支持库与每轮智能推荐</x:v>
      </x:c>
      <x:c r="J7" s="26" t="str">
        <x:v>询盘函写作</x:v>
      </x:c>
    </x:row>
    <x:row r="8">
      <x:c r="A8" s="24" t="str">
        <x:v>K009</x:v>
      </x:c>
      <x:c r="B8" s="25" t="str">
        <x:v>业务流程</x:v>
      </x:c>
      <x:c r="C8" s="25" t="str">
        <x:v>询盘渠道与工具</x:v>
      </x:c>
      <x:c r="D8" s="25" t="str">
        <x:v>Inquiry channels and tools</x:v>
      </x:c>
      <x:c r="E8" s="25" t="str">
        <x:v>询盘可通过展会、B2B 平台、商会、代理或直接邮件进行；渠道选择影响成本、真实性和群发询价风险。</x:v>
      </x:c>
      <x:c r="F8" s="25" t="str">
        <x:v>Channels include trade fairs, B2B platforms, chambers, agents, and direct email. Tool choice affects cost, authenticity, and the risk of RFQ flooding.</x:v>
      </x:c>
      <x:c r="G8" s="25" t="str">
        <x:v>S1</x:v>
      </x:c>
      <x:c r="H8" s="25" t="str">
        <x:v>能够解释该知识并在训练中识别其适用边界</x:v>
      </x:c>
      <x:c r="I8" s="25" t="str">
        <x:v>关卡支持库与每轮智能推荐</x:v>
      </x:c>
      <x:c r="J8" s="26" t="str">
        <x:v>询盘渠道</x:v>
      </x:c>
    </x:row>
    <x:row r="9">
      <x:c r="A9" s="24" t="str">
        <x:v>K010</x:v>
      </x:c>
      <x:c r="B9" s="25" t="str">
        <x:v>业务流程</x:v>
      </x:c>
      <x:c r="C9" s="25" t="str">
        <x:v>询盘前信息收集与市场调研</x:v>
      </x:c>
      <x:c r="D9" s="25" t="str">
        <x:v>Gathering information and market research for inquiries</x:v>
      </x:c>
      <x:c r="E9" s="25" t="str">
        <x:v>询盘前应掌握市场价格、HS 编码、目的地法规、季节性和供应商资质，使询盘有针对性。</x:v>
      </x:c>
      <x:c r="F9" s="25" t="str">
        <x:v>Before inquiring, collect incumbent prices, HS codes, destination rules, seasonality, and supplier credentials so the RFQ is targeted rather than naïve.</x:v>
      </x:c>
      <x:c r="G9" s="25" t="str">
        <x:v>S1</x:v>
      </x:c>
      <x:c r="H9" s="25" t="str">
        <x:v>能够解释该知识并在训练中识别其适用边界</x:v>
      </x:c>
      <x:c r="I9" s="25" t="str">
        <x:v>关卡支持库与每轮智能推荐</x:v>
      </x:c>
      <x:c r="J9" s="26" t="str">
        <x:v>询盘前调研</x:v>
      </x:c>
    </x:row>
    <x:row r="10">
      <x:c r="A10" s="24" t="str">
        <x:v>K011</x:v>
      </x:c>
      <x:c r="B10" s="25" t="str">
        <x:v>业务流程</x:v>
      </x:c>
      <x:c r="C10" s="25" t="str">
        <x:v>询盘比较分析</x:v>
      </x:c>
      <x:c r="D10" s="25" t="str">
        <x:v>Comparative analysis of inquiries</x:v>
      </x:c>
      <x:c r="E10" s="25" t="str">
        <x:v>按单价、Incoterm、交期、MOQ、付款及非价格条款进行同口径列表比较，不能把 CIF 与 FOB 报价直接等同。</x:v>
      </x:c>
      <x:c r="F10" s="25" t="str">
        <x:v>Tabulate replies on unit price, Incoterm, lead time, MOQ, payment, and non-price terms. Do not compare a CIF quote with an FOB quote as if they were equal.</x:v>
      </x:c>
      <x:c r="G10" s="25" t="str">
        <x:v>S1</x:v>
      </x:c>
      <x:c r="H10" s="25" t="str">
        <x:v>能够解释该知识并在训练中识别其适用边界</x:v>
      </x:c>
      <x:c r="I10" s="25" t="str">
        <x:v>关卡支持库与每轮智能推荐</x:v>
      </x:c>
      <x:c r="J10" s="26" t="str">
        <x:v>询盘比价</x:v>
      </x:c>
    </x:row>
    <x:row r="11">
      <x:c r="A11" s="24" t="str">
        <x:v>K013</x:v>
      </x:c>
      <x:c r="B11" s="25" t="str">
        <x:v>概念</x:v>
      </x:c>
      <x:c r="C11" s="25" t="str">
        <x:v>发盘的定义</x:v>
      </x:c>
      <x:c r="D11" s="25" t="str">
        <x:v>Definition of offers</x:v>
      </x:c>
      <x:c r="E11" s="25" t="str">
        <x:v>发盘是包含明确条款并表明一经接受即受约束的交易建议；保留最终确认的报价或形式发票通常不构成发盘。</x:v>
      </x:c>
      <x:c r="F11" s="25" t="str">
        <x:v>An offer is a proposal of definite terms made with intent to be bound upon acceptance. A quotation or proforma that reserves confirmation is not an offer.</x:v>
      </x:c>
      <x:c r="G11" s="25" t="str">
        <x:v>S2</x:v>
      </x:c>
      <x:c r="H11" s="25" t="str">
        <x:v>能够解释该知识并在训练中识别其适用边界</x:v>
      </x:c>
      <x:c r="I11" s="25" t="str">
        <x:v>关卡支持库与每轮智能推荐</x:v>
      </x:c>
      <x:c r="J11" s="26" t="str">
        <x:v>发盘定义</x:v>
      </x:c>
    </x:row>
    <x:row r="12">
      <x:c r="A12" s="24" t="str">
        <x:v>K014</x:v>
      </x:c>
      <x:c r="B12" s="25" t="str">
        <x:v>法律规则</x:v>
      </x:c>
      <x:c r="C12" s="25" t="str">
        <x:v>发盘的法律性质与解释</x:v>
      </x:c>
      <x:c r="D12" s="25" t="str">
        <x:v>Legal nature and interpretation of offers</x:v>
      </x:c>
      <x:c r="E12" s="25" t="str">
        <x:v>CISG 第14—17条及国内法决定建议是否足够明确、能否撤销；解释还要结合文本、惯例和后续行为。</x:v>
      </x:c>
      <x:c r="F12" s="25" t="str">
        <x:v>CISG Arts. 14–17 and domestic law decide when a proposal is sufficiently definite and whether it is revocable. Interpretation looks to the text, usages, and subsequent conduct.</x:v>
      </x:c>
      <x:c r="G12" s="25" t="str">
        <x:v>S2</x:v>
      </x:c>
      <x:c r="H12" s="25" t="str">
        <x:v>能够解释该知识并在训练中识别其适用边界</x:v>
      </x:c>
      <x:c r="I12" s="25" t="str">
        <x:v>关卡支持库与每轮智能推荐</x:v>
      </x:c>
      <x:c r="J12" s="26" t="str">
        <x:v>发盘法律规则</x:v>
      </x:c>
    </x:row>
    <x:row r="13">
      <x:c r="A13" s="24" t="str">
        <x:v>K015</x:v>
      </x:c>
      <x:c r="B13" s="25" t="str">
        <x:v>法律规则</x:v>
      </x:c>
      <x:c r="C13" s="25" t="str">
        <x:v>发盘有效期</x:v>
      </x:c>
      <x:c r="D13" s="25" t="str">
        <x:v>Validity period of offers</x:v>
      </x:c>
      <x:c r="E13" s="25" t="str">
        <x:v>明确写出具体截止日期、时间和时区，是控制逾期接受与撤销风险的最清晰办法。</x:v>
      </x:c>
      <x:c r="F13" s="25" t="str">
        <x:v>A stated validity period (e.g. 'this offer remains firm until 17:00 Beijing time on 15 May') is the cleanest way to control late acceptance and revocation.</x:v>
      </x:c>
      <x:c r="G13" s="25" t="str">
        <x:v>S2</x:v>
      </x:c>
      <x:c r="H13" s="25" t="str">
        <x:v>能够解释该知识并在训练中识别其适用边界</x:v>
      </x:c>
      <x:c r="I13" s="25" t="str">
        <x:v>关卡支持库与每轮智能推荐</x:v>
      </x:c>
      <x:c r="J13" s="26" t="str">
        <x:v>发盘有效期</x:v>
      </x:c>
    </x:row>
    <x:row r="14">
      <x:c r="A14" s="24" t="str">
        <x:v>K016</x:v>
      </x:c>
      <x:c r="B14" s="25" t="str">
        <x:v>法律规则</x:v>
      </x:c>
      <x:c r="C14" s="25" t="str">
        <x:v>FOB 条件</x:v>
      </x:c>
      <x:c r="D14" s="25" t="str">
        <x:v>FOB terms</x:v>
      </x:c>
      <x:c r="E14" s="25" t="str">
        <x:v>FOB 下卖方在指定装运港将货物装上船即完成交付，买方承担运费、保险及其后风险；比价时必须补计相关成本。</x:v>
      </x:c>
      <x:c r="F14" s="25" t="str">
        <x:v>Under Incoterms FOB, the seller delivers on board at the named port; the buyer bears freight, insurance, and subsequent risk. Price comparisons must add those costs.</x:v>
      </x:c>
      <x:c r="G14" s="25" t="str">
        <x:v>S2</x:v>
      </x:c>
      <x:c r="H14" s="25" t="str">
        <x:v>能够解释该知识并在训练中识别其适用边界</x:v>
      </x:c>
      <x:c r="I14" s="25" t="str">
        <x:v>关卡支持库与每轮智能推荐</x:v>
      </x:c>
      <x:c r="J14" s="26" t="str">
        <x:v>FOB 条件</x:v>
      </x:c>
    </x:row>
    <x:row r="15">
      <x:c r="A15" s="24" t="str">
        <x:v>K017</x:v>
      </x:c>
      <x:c r="B15" s="25" t="str">
        <x:v>法律规则</x:v>
      </x:c>
      <x:c r="C15" s="25" t="str">
        <x:v>CIF 条件</x:v>
      </x:c>
      <x:c r="D15" s="25" t="str">
        <x:v>CIF terms</x:v>
      </x:c>
      <x:c r="E15" s="25" t="str">
        <x:v>CIF 下卖方支付至指定港的运费并投保最低保险，但风险仍在起运港装船时转移，这是常见争议点。</x:v>
      </x:c>
      <x:c r="F15" s="25" t="str">
        <x:v>Under Incoterms CIF, the seller pays carriage and minimum insurance to the named port. Risk still passes on board at origin — a frequent source of dispute.</x:v>
      </x:c>
      <x:c r="G15" s="25" t="str">
        <x:v>S2</x:v>
      </x:c>
      <x:c r="H15" s="25" t="str">
        <x:v>能够解释该知识并在训练中识别其适用边界</x:v>
      </x:c>
      <x:c r="I15" s="25" t="str">
        <x:v>关卡支持库与每轮智能推荐</x:v>
      </x:c>
      <x:c r="J15" s="26" t="str">
        <x:v>CIF 条件</x:v>
      </x:c>
    </x:row>
    <x:row r="16">
      <x:c r="A16" s="24" t="str">
        <x:v>K019</x:v>
      </x:c>
      <x:c r="B16" s="25" t="str">
        <x:v>商务函电</x:v>
      </x:c>
      <x:c r="C16" s="25" t="str">
        <x:v>发盘函结构</x:v>
      </x:c>
      <x:c r="D16" s="25" t="str">
        <x:v>Structure of offer correspondence</x:v>
      </x:c>
      <x:c r="E16" s="25" t="str">
        <x:v>完整发盘函应以可核对方式列明商品、规格、数量、单价、贸易术语、装运、付款、包装、有效期和单据。</x:v>
      </x:c>
      <x:c r="F16" s="25" t="str">
        <x:v>A complete offer letter covers goods, spec, quantity, unit price, Incoterm, shipment, payment, packing, validity, and documents — in a numbered, checkable layout.</x:v>
      </x:c>
      <x:c r="G16" s="25" t="str">
        <x:v>S2</x:v>
      </x:c>
      <x:c r="H16" s="25" t="str">
        <x:v>能够解释该知识并在训练中识别其适用边界</x:v>
      </x:c>
      <x:c r="I16" s="25" t="str">
        <x:v>关卡支持库与每轮智能推荐</x:v>
      </x:c>
      <x:c r="J16" s="26" t="str">
        <x:v>发盘函写作</x:v>
      </x:c>
    </x:row>
    <x:row r="17">
      <x:c r="A17" s="24" t="str">
        <x:v>K020</x:v>
      </x:c>
      <x:c r="B17" s="25" t="str">
        <x:v>跨文化</x:v>
      </x:c>
      <x:c r="C17" s="25" t="str">
        <x:v>发盘礼仪与跨文化差异</x:v>
      </x:c>
      <x:c r="D17" s="25" t="str">
        <x:v>Offer etiquette and cross-cultural differences</x:v>
      </x:c>
      <x:c r="E17" s="25" t="str">
        <x:v>不同市场对书面报价的确定性期待不同，应明确标注“实盘”或“参考价”，不能只依赖当地习惯。</x:v>
      </x:c>
      <x:c r="F17" s="25" t="str">
        <x:v>Some markets treat a written quote as nearly firm; others expect several rounds. State 'firm' vs 'for indication' explicitly rather than relying on local custom.</x:v>
      </x:c>
      <x:c r="G17" s="25" t="str">
        <x:v>S2</x:v>
      </x:c>
      <x:c r="H17" s="25" t="str">
        <x:v>能够解释该知识并在训练中识别其适用边界</x:v>
      </x:c>
      <x:c r="I17" s="25" t="str">
        <x:v>关卡支持库与每轮智能推荐</x:v>
      </x:c>
      <x:c r="J17" s="26" t="str">
        <x:v>发盘跨文化礼仪</x:v>
      </x:c>
    </x:row>
    <x:row r="18">
      <x:c r="A18" s="24" t="str">
        <x:v>K021</x:v>
      </x:c>
      <x:c r="B18" s="25" t="str">
        <x:v>业务流程</x:v>
      </x:c>
      <x:c r="C18" s="25" t="str">
        <x:v>定价因素分析</x:v>
      </x:c>
      <x:c r="D18" s="25" t="str">
        <x:v>Analysis of pricing factors</x:v>
      </x:c>
      <x:c r="E18" s="25" t="str">
        <x:v>价格应由出厂成本、包装、内陆运输、海运、保险、关税、佣金、汇率和利润组成，遗漏任何一层都会造成错误报价。</x:v>
      </x:c>
      <x:c r="F18" s="25" t="str">
        <x:v>Build price from EXW cost, packing, inland, freight, insurance, duties, commission, FX, and margin. Missing any layer produces a false FOB/CIF number.</x:v>
      </x:c>
      <x:c r="G18" s="25" t="str">
        <x:v>S2</x:v>
      </x:c>
      <x:c r="H18" s="25" t="str">
        <x:v>能够解释该知识并在训练中识别其适用边界</x:v>
      </x:c>
      <x:c r="I18" s="25" t="str">
        <x:v>关卡支持库与每轮智能推荐</x:v>
      </x:c>
      <x:c r="J18" s="26" t="str">
        <x:v>定价因素</x:v>
      </x:c>
    </x:row>
    <x:row r="19">
      <x:c r="A19" s="24" t="str">
        <x:v>K022</x:v>
      </x:c>
      <x:c r="B19" s="25" t="str">
        <x:v>法律规则</x:v>
      </x:c>
      <x:c r="C19" s="25" t="str">
        <x:v>发盘的撤回与修改</x:v>
      </x:c>
      <x:c r="D19" s="25" t="str">
        <x:v>Withdrawing and modifying offers</x:v>
      </x:c>
      <x:c r="E19" s="25" t="str">
        <x:v>撤销通知须在接受前到达受盘人；不可撤销发盘或明确有效期的实盘，在有效期内原则上不得撤销。</x:v>
      </x:c>
      <x:c r="F19" s="25" t="str">
        <x:v>A revocation must reach the offeree before acceptance (CISG Art. 16). An irrevocable or firm-period offer cannot be withdrawn during its life except as the law allows.</x:v>
      </x:c>
      <x:c r="G19" s="25" t="str">
        <x:v>S2</x:v>
      </x:c>
      <x:c r="H19" s="25" t="str">
        <x:v>能够解释该知识并在训练中识别其适用边界</x:v>
      </x:c>
      <x:c r="I19" s="25" t="str">
        <x:v>关卡支持库与每轮智能推荐</x:v>
      </x:c>
      <x:c r="J19" s="26" t="str">
        <x:v>撤盘改盘</x:v>
      </x:c>
    </x:row>
    <x:row r="20">
      <x:c r="A20" s="24" t="str">
        <x:v>K023</x:v>
      </x:c>
      <x:c r="B20" s="25" t="str">
        <x:v>法律规则</x:v>
      </x:c>
      <x:c r="C20" s="25" t="str">
        <x:v>附条件与限制性发盘</x:v>
      </x:c>
      <x:c r="D20" s="25" t="str">
        <x:v>Conditional and limiting offers</x:v>
      </x:c>
      <x:c r="E20" s="25" t="str">
        <x:v>“以先售为准”“以取得许可为准”等条件可限制承诺，但隐蔽或层层叠加会使其沦为试探性虚盘。</x:v>
      </x:c>
      <x:c r="F20" s="25" t="str">
        <x:v>Conditions ('subject to prior sale', 'subject to licence') limit commitment. They are legitimate risk tools; undisclosed or stacked conditions are treated as fishing.</x:v>
      </x:c>
      <x:c r="G20" s="25" t="str">
        <x:v>S2</x:v>
      </x:c>
      <x:c r="H20" s="25" t="str">
        <x:v>能够解释该知识并在训练中识别其适用边界</x:v>
      </x:c>
      <x:c r="I20" s="25" t="str">
        <x:v>关卡支持库与每轮智能推荐</x:v>
      </x:c>
      <x:c r="J20" s="26" t="str">
        <x:v>附条件发盘</x:v>
      </x:c>
    </x:row>
    <x:row r="21">
      <x:c r="A21" s="24" t="str">
        <x:v>K024</x:v>
      </x:c>
      <x:c r="B21" s="25" t="str">
        <x:v>风险控制</x:v>
      </x:c>
      <x:c r="C21" s="25" t="str">
        <x:v>发盘风险管理</x:v>
      </x:c>
      <x:c r="D21" s="25" t="str">
        <x:v>Risk management for offers</x:v>
      </x:c>
      <x:c r="E21" s="25" t="str">
        <x:v>发出实盘前应控制汇率、库存、有效期、贸易术语和信用风险；无限期实盘等于免费授予买方选择权。</x:v>
      </x:c>
      <x:c r="F21" s="25" t="str">
        <x:v>Control FX, stock, validity, Incoterm, and credit before issuing a firm offer. A firm offer with an open-ended validity is an unpriced option granted to the buyer.</x:v>
      </x:c>
      <x:c r="G21" s="25" t="str">
        <x:v>S2</x:v>
      </x:c>
      <x:c r="H21" s="25" t="str">
        <x:v>能够解释该知识并在训练中识别其适用边界</x:v>
      </x:c>
      <x:c r="I21" s="25" t="str">
        <x:v>关卡支持库与每轮智能推荐</x:v>
      </x:c>
      <x:c r="J21" s="26" t="str">
        <x:v>发盘风控</x:v>
      </x:c>
    </x:row>
    <x:row r="22">
      <x:c r="A22" s="24" t="str">
        <x:v>K026</x:v>
      </x:c>
      <x:c r="B22" s="25" t="str">
        <x:v>法律规则</x:v>
      </x:c>
      <x:c r="C22" s="25" t="str">
        <x:v>还盘的法律性质与解释</x:v>
      </x:c>
      <x:c r="D22" s="25" t="str">
        <x:v>Legal nature and interpretation of counter-offers</x:v>
      </x:c>
      <x:c r="E22" s="25" t="str">
        <x:v>对主要条款的变更构成拒绝原发盘并提出新发盘；依 CISG 第19条，原发盘通常因此失效。</x:v>
      </x:c>
      <x:c r="F22" s="25" t="str">
        <x:v>A material alteration is a rejection plus a new offer (CISG Art. 19). The original offer dies unless the offeror promptly objects to the discrepancy.</x:v>
      </x:c>
      <x:c r="G22" s="25" t="str">
        <x:v>S3</x:v>
      </x:c>
      <x:c r="H22" s="25" t="str">
        <x:v>能够解释该知识并在训练中识别其适用边界</x:v>
      </x:c>
      <x:c r="I22" s="25" t="str">
        <x:v>关卡支持库与每轮智能推荐</x:v>
      </x:c>
      <x:c r="J22" s="26" t="str">
        <x:v>还盘法律规则</x:v>
      </x:c>
    </x:row>
    <x:row r="23">
      <x:c r="A23" s="24" t="str">
        <x:v>K027</x:v>
      </x:c>
      <x:c r="B23" s="25" t="str">
        <x:v>法律规则</x:v>
      </x:c>
      <x:c r="C23" s="25" t="str">
        <x:v>还盘后的权利义务转移</x:v>
      </x:c>
      <x:c r="D23" s="25" t="str">
        <x:v>Transfer of rights and obligations after a counter-offer</x:v>
      </x:c>
      <x:c r="E23" s="25" t="str">
        <x:v>提出还盘后，原受盘人成为新的发盘人，承诺权随之转移，原发盘不能再以“接受”方式恢复。</x:v>
      </x:c>
      <x:c r="F23" s="25" t="str">
        <x:v>Once a counter-offer is made, the original offeree becomes the new offeror. The power of acceptance moves; the first offer cannot be revived by later 'acceptance'.</x:v>
      </x:c>
      <x:c r="G23" s="25" t="str">
        <x:v>S3</x:v>
      </x:c>
      <x:c r="H23" s="25" t="str">
        <x:v>能够解释该知识并在训练中识别其适用边界</x:v>
      </x:c>
      <x:c r="I23" s="25" t="str">
        <x:v>关卡支持库与每轮智能推荐</x:v>
      </x:c>
      <x:c r="J23" s="26" t="str">
        <x:v>还盘权利转移</x:v>
      </x:c>
    </x:row>
    <x:row r="24">
      <x:c r="A24" s="24" t="str">
        <x:v>K028</x:v>
      </x:c>
      <x:c r="B24" s="25" t="str">
        <x:v>概念</x:v>
      </x:c>
      <x:c r="C24" s="25" t="str">
        <x:v>还盘流程逻辑</x:v>
      </x:c>
      <x:c r="D24" s="25" t="str">
        <x:v>Logic of the counter-offer process</x:v>
      </x:c>
      <x:c r="E24" s="25" t="str">
        <x:v>还盘应区分底线与可交易项，每次调整一组条款，并书面记录仍然有效的条件。</x:v>
      </x:c>
      <x:c r="F24" s="25" t="str">
        <x:v>Counter-offering is a controlled sequence: identify must-haves vs tradables, vary one cluster at a time, and keep a written trail of what is still on the table.</x:v>
      </x:c>
      <x:c r="G24" s="25" t="str">
        <x:v>S3</x:v>
      </x:c>
      <x:c r="H24" s="25" t="str">
        <x:v>能够解释该知识并在训练中识别其适用边界</x:v>
      </x:c>
      <x:c r="I24" s="25" t="str">
        <x:v>关卡支持库与每轮智能推荐</x:v>
      </x:c>
      <x:c r="J24" s="26" t="str">
        <x:v>还盘流程</x:v>
      </x:c>
    </x:row>
    <x:row r="25">
      <x:c r="A25" s="24" t="str">
        <x:v>K032</x:v>
      </x:c>
      <x:c r="B25" s="25" t="str">
        <x:v>商务函电</x:v>
      </x:c>
      <x:c r="C25" s="25" t="str">
        <x:v>还盘函结构、语言与礼仪</x:v>
      </x:c>
      <x:c r="D25" s="25" t="str">
        <x:v>Structure, language, and etiquette of counter-offer correspondence</x:v>
      </x:c>
      <x:c r="E25" s="25" t="str">
        <x:v>先致谢并重申共识，再列表提出修改、说明理由并设定回复期限；高语境环境中避免生硬宣告“拒绝”。</x:v>
      </x:c>
      <x:c r="F25" s="25" t="str">
        <x:v>Thank, restate common ground, list proposed changes in a table, give reasons, and set a reply-by date. Avoid 'we reject your offer' in high-context settings.</x:v>
      </x:c>
      <x:c r="G25" s="25" t="str">
        <x:v>S3</x:v>
      </x:c>
      <x:c r="H25" s="25" t="str">
        <x:v>能够解释该知识并在训练中识别其适用边界</x:v>
      </x:c>
      <x:c r="I25" s="25" t="str">
        <x:v>关卡支持库与每轮智能推荐</x:v>
      </x:c>
      <x:c r="J25" s="26" t="str">
        <x:v>还盘函写作</x:v>
      </x:c>
    </x:row>
    <x:row r="26">
      <x:c r="A26" s="24" t="str">
        <x:v>K033</x:v>
      </x:c>
      <x:c r="B26" s="25" t="str">
        <x:v>风险控制</x:v>
      </x:c>
      <x:c r="C26" s="25" t="str">
        <x:v>还盘风险控制</x:v>
      </x:c>
      <x:c r="D26" s="25" t="str">
        <x:v>Risk control for counter-offers</x:v>
      </x:c>
      <x:c r="E26" s="25" t="str">
        <x:v>持续跟踪当前有效发盘并给每次修订标注日期，不得依据已被后续还盘消灭的版本履约、装运或收款。</x:v>
      </x:c>
      <x:c r="F26" s="25" t="str">
        <x:v>Track which offer is live. Date every revision. Do not perform, ship, or take payment against a version that has been legally killed by a later counter-offer.</x:v>
      </x:c>
      <x:c r="G26" s="25" t="str">
        <x:v>S3</x:v>
      </x:c>
      <x:c r="H26" s="25" t="str">
        <x:v>能够解释该知识并在训练中识别其适用边界</x:v>
      </x:c>
      <x:c r="I26" s="25" t="str">
        <x:v>关卡支持库与每轮智能推荐</x:v>
      </x:c>
      <x:c r="J26" s="26" t="str">
        <x:v>还盘风控</x:v>
      </x:c>
    </x:row>
    <x:row r="27">
      <x:c r="A27" s="24" t="str">
        <x:v>K034</x:v>
      </x:c>
      <x:c r="B27" s="25" t="str">
        <x:v>法律规则</x:v>
      </x:c>
      <x:c r="C27" s="25" t="str">
        <x:v>还盘、沉默与默示接受</x:v>
      </x:c>
      <x:c r="D27" s="25" t="str">
        <x:v>Counter-offers, silence, and implied acceptance</x:v>
      </x:c>
      <x:c r="E27" s="25" t="str">
        <x:v>沉默原则上不构成接受，但交易习惯、既往做法或发盘另有约定时可能例外；装运、付款或收货等行为可构成接受。</x:v>
      </x:c>
      <x:c r="F27" s="25" t="str">
        <x:v>Silence is not acceptance (CISG Art. 18) except where usage, course of dealing, or the offer itself so provides. Conduct (shipping, paying, taking goods) can be.</x:v>
      </x:c>
      <x:c r="G27" s="25" t="str">
        <x:v>S3</x:v>
      </x:c>
      <x:c r="H27" s="25" t="str">
        <x:v>能够解释该知识并在训练中识别其适用边界</x:v>
      </x:c>
      <x:c r="I27" s="25" t="str">
        <x:v>关卡支持库与每轮智能推荐</x:v>
      </x:c>
      <x:c r="J27" s="26" t="str">
        <x:v>沉默与默示接受</x:v>
      </x:c>
    </x:row>
    <x:row r="28">
      <x:c r="A28" s="24" t="str">
        <x:v>K039</x:v>
      </x:c>
      <x:c r="B28" s="25" t="str">
        <x:v>概念</x:v>
      </x:c>
      <x:c r="C28" s="25" t="str">
        <x:v>接受的定义</x:v>
      </x:c>
      <x:c r="D28" s="25" t="str">
        <x:v>Definition of acceptance</x:v>
      </x:c>
      <x:c r="E28" s="25" t="str">
        <x:v>接受是以声明或其他行为表示同意发盘；对主要条款必须无条件一致，方能形成合同。</x:v>
      </x:c>
      <x:c r="F28" s="25" t="str">
        <x:v>Acceptance is a statement or other conduct indicating assent to an offer. It must be unconditional as to material terms to form a contract.</x:v>
      </x:c>
      <x:c r="G28" s="25" t="str">
        <x:v>S4</x:v>
      </x:c>
      <x:c r="H28" s="25" t="str">
        <x:v>能够解释该知识并在训练中识别其适用边界</x:v>
      </x:c>
      <x:c r="I28" s="25" t="str">
        <x:v>关卡支持库与每轮智能推荐</x:v>
      </x:c>
      <x:c r="J28" s="26" t="str">
        <x:v>接受定义</x:v>
      </x:c>
    </x:row>
    <x:row r="29">
      <x:c r="A29" s="24" t="str">
        <x:v>K040</x:v>
      </x:c>
      <x:c r="B29" s="25" t="str">
        <x:v>法律规则</x:v>
      </x:c>
      <x:c r="C29" s="25" t="str">
        <x:v>有效接受的构成要件</x:v>
      </x:c>
      <x:c r="D29" s="25" t="str">
        <x:v>Elements of a valid acceptance</x:v>
      </x:c>
      <x:c r="E29" s="25" t="str">
        <x:v>接受应由受盘人在期限内以约定或合理方式作出，与发盘一致，并依 CISG 第18条在到达发盘人时生效。</x:v>
      </x:c>
      <x:c r="F29" s="25" t="str">
        <x:v>Assent must match the offer, be made by the offeree, within time, by a reasonable (or prescribed) medium, and become effective when it reaches the offeror (CISG Art. 18).</x:v>
      </x:c>
      <x:c r="G29" s="25" t="str">
        <x:v>S4</x:v>
      </x:c>
      <x:c r="H29" s="25" t="str">
        <x:v>能够解释该知识并在训练中识别其适用边界</x:v>
      </x:c>
      <x:c r="I29" s="25" t="str">
        <x:v>关卡支持库与每轮智能推荐</x:v>
      </x:c>
      <x:c r="J29" s="26" t="str">
        <x:v>有效接受要件</x:v>
      </x:c>
    </x:row>
    <x:row r="30">
      <x:c r="A30" s="24" t="str">
        <x:v>K041</x:v>
      </x:c>
      <x:c r="B30" s="25" t="str">
        <x:v>法律规则</x:v>
      </x:c>
      <x:c r="C30" s="25" t="str">
        <x:v>接受与还盘的区分</x:v>
      </x:c>
      <x:c r="D30" s="25" t="str">
        <x:v>Distinction between acceptance and counter-offer</x:v>
      </x:c>
      <x:c r="E30" s="25" t="str">
        <x:v>增加或改变主要条款的回复属于还盘而非接受；非实质性补充可能仍形成合同，除非发盘人及时反对。</x:v>
      </x:c>
      <x:c r="F30" s="25" t="str">
        <x:v>A reply that adds or alters material terms is a counter-offer, not an acceptance. Immaterial additions may still form a contract unless the offeror objects without delay.</x:v>
      </x:c>
      <x:c r="G30" s="25" t="str">
        <x:v>S4</x:v>
      </x:c>
      <x:c r="H30" s="25" t="str">
        <x:v>能够解释该知识并在训练中识别其适用边界</x:v>
      </x:c>
      <x:c r="I30" s="25" t="str">
        <x:v>关卡支持库与每轮智能推荐</x:v>
      </x:c>
      <x:c r="J30" s="26" t="str">
        <x:v>接受还盘区分</x:v>
      </x:c>
    </x:row>
    <x:row r="31">
      <x:c r="A31" s="24" t="str">
        <x:v>K042</x:v>
      </x:c>
      <x:c r="B31" s="25" t="str">
        <x:v>法律规则</x:v>
      </x:c>
      <x:c r="C31" s="25" t="str">
        <x:v>逾期接受</x:v>
      </x:c>
      <x:c r="D31" s="25" t="str">
        <x:v>Late acceptance</x:v>
      </x:c>
      <x:c r="E31" s="25" t="str">
        <x:v>逾期接受通常构成新发盘；依 CISG 第21条，原发盘人及时确认其有效，或迟延明显源于传递故障时可能例外。</x:v>
      </x:c>
      <x:c r="F31" s="25" t="str">
        <x:v>A late acceptance is a new offer, unless the original offeror promptly informs the acceptor that it is treated as effective (CISG Art. 21), or the delay is visible as a transmission fault.</x:v>
      </x:c>
      <x:c r="G31" s="25" t="str">
        <x:v>S4</x:v>
      </x:c>
      <x:c r="H31" s="25" t="str">
        <x:v>能够解释该知识并在训练中识别其适用边界</x:v>
      </x:c>
      <x:c r="I31" s="25" t="str">
        <x:v>关卡支持库与每轮智能推荐</x:v>
      </x:c>
      <x:c r="J31" s="26" t="str">
        <x:v>逾期接受</x:v>
      </x:c>
    </x:row>
    <x:row r="32">
      <x:c r="A32" s="24" t="str">
        <x:v>K043</x:v>
      </x:c>
      <x:c r="B32" s="25" t="str">
        <x:v>业务流程</x:v>
      </x:c>
      <x:c r="C32" s="25" t="str">
        <x:v>订货流程与确认</x:v>
      </x:c>
      <x:c r="D32" s="25" t="str">
        <x:v>Ordering process and confirmation</x:v>
      </x:c>
      <x:c r="E32" s="25" t="str">
        <x:v>合同成立后应发出采购订单或销售确认书，重述一致条款并要求签回，使双方持有相同记录。</x:v>
      </x:c>
      <x:c r="F32" s="25" t="str">
        <x:v>After formation, issue a purchase order / sales confirmation that restates the matched terms, and require a signed return so both sides hold the same record.</x:v>
      </x:c>
      <x:c r="G32" s="25" t="str">
        <x:v>S4</x:v>
      </x:c>
      <x:c r="H32" s="25" t="str">
        <x:v>能够解释该知识并在训练中识别其适用边界</x:v>
      </x:c>
      <x:c r="I32" s="25" t="str">
        <x:v>关卡支持库与每轮智能推荐</x:v>
      </x:c>
      <x:c r="J32" s="26" t="str">
        <x:v>订货确认</x:v>
      </x:c>
    </x:row>
    <x:row r="33">
      <x:c r="A33" s="24" t="str">
        <x:v>K044</x:v>
      </x:c>
      <x:c r="B33" s="25" t="str">
        <x:v>业务流程</x:v>
      </x:c>
      <x:c r="C33" s="25" t="str">
        <x:v>订单变更、修改与取消</x:v>
      </x:c>
      <x:c r="D33" s="25" t="str">
        <x:v>Order changes, modifications, and cancellations</x:v>
      </x:c>
      <x:c r="E33" s="25" t="str">
        <x:v>依 CISG 第29条，合同修改需双方同意；成立后取消通常构成违约，除非约定取消窗口、适用免责或双方解除。</x:v>
      </x:c>
      <x:c r="F33" s="25" t="str">
        <x:v>Modifications need agreement (CISG Art. 29). Cancellations after formation are a breach unless a cancellation window, exemption, or mutual release applies.</x:v>
      </x:c>
      <x:c r="G33" s="25" t="str">
        <x:v>S4</x:v>
      </x:c>
      <x:c r="H33" s="25" t="str">
        <x:v>能够解释该知识并在训练中识别其适用边界</x:v>
      </x:c>
      <x:c r="I33" s="25" t="str">
        <x:v>关卡支持库与每轮智能推荐</x:v>
      </x:c>
      <x:c r="J33" s="26" t="str">
        <x:v>订单变更取消</x:v>
      </x:c>
    </x:row>
    <x:row r="34">
      <x:c r="A34" s="24" t="str">
        <x:v>K045</x:v>
      </x:c>
      <x:c r="B34" s="25" t="str">
        <x:v>跨文化</x:v>
      </x:c>
      <x:c r="C34" s="25" t="str">
        <x:v>接受与订货的跨文化差异</x:v>
      </x:c>
      <x:c r="D34" s="25" t="str">
        <x:v>Cross-cultural differences in acceptance and ordering</x:v>
      </x:c>
      <x:c r="E34" s="25" t="str">
        <x:v>某些文化中的口头“同意”仅表示关系性回应，并非合同承诺；应坚持书面接受，不把礼貌或沉默当作成立。</x:v>
      </x:c>
      <x:c r="F34" s="25" t="str">
        <x:v>In some cultures a verbal 'yes' is relational, not contractual. Insist on a written acceptance and do not treat hospitality or silence as formation.</x:v>
      </x:c>
      <x:c r="G34" s="25" t="str">
        <x:v>S4</x:v>
      </x:c>
      <x:c r="H34" s="25" t="str">
        <x:v>能够解释该知识并在训练中识别其适用边界</x:v>
      </x:c>
      <x:c r="I34" s="25" t="str">
        <x:v>关卡支持库与每轮智能推荐</x:v>
      </x:c>
      <x:c r="J34" s="26" t="str">
        <x:v>接受跨文化差异</x:v>
      </x:c>
    </x:row>
    <x:row r="35">
      <x:c r="A35" s="24" t="str">
        <x:v>K046</x:v>
      </x:c>
      <x:c r="B35" s="25" t="str">
        <x:v>法律规则</x:v>
      </x:c>
      <x:c r="C35" s="25" t="str">
        <x:v>接受通知的方式、效力与撤回</x:v>
      </x:c>
      <x:c r="D35" s="25" t="str">
        <x:v>Methods, validity, and withdrawal of acceptance notices</x:v>
      </x:c>
      <x:c r="E35" s="25" t="str">
        <x:v>接受可通过信函、邮件、EDI 或行为作出；撤回通知只有在接受之前或同时到达发盘人时才有效。</x:v>
      </x:c>
      <x:c r="F35" s="25" t="str">
        <x:v>Acceptance may be by letter, email, EDI, or conduct. It can be withdrawn only if the withdrawal reaches the offeror before or at the same time as the acceptance.</x:v>
      </x:c>
      <x:c r="G35" s="25" t="str">
        <x:v>S4</x:v>
      </x:c>
      <x:c r="H35" s="25" t="str">
        <x:v>能够解释该知识并在训练中识别其适用边界</x:v>
      </x:c>
      <x:c r="I35" s="25" t="str">
        <x:v>关卡支持库与每轮智能推荐</x:v>
      </x:c>
      <x:c r="J35" s="26" t="str">
        <x:v>接受通知规则</x:v>
      </x:c>
    </x:row>
    <x:row r="36">
      <x:c r="A36" s="24" t="str">
        <x:v>K047</x:v>
      </x:c>
      <x:c r="B36" s="25" t="str">
        <x:v>法律规则</x:v>
      </x:c>
      <x:c r="C36" s="25" t="str">
        <x:v>买卖合同的成立与条款</x:v>
      </x:c>
      <x:c r="D36" s="25" t="str">
        <x:v>Formation and terms of purchase contracts</x:v>
      </x:c>
      <x:c r="E36" s="25" t="str">
        <x:v>合同由相互一致的发盘与接受及纳入的一般条件构成，核心包括货物、数量、价格或定价方法、交付与付款。</x:v>
      </x:c>
      <x:c r="F36" s="25" t="str">
        <x:v>The contract is the matching offer + acceptance, plus incorporated general conditions. Essential terms: goods, quantity, price or a way to determine it, delivery, payment.</x:v>
      </x:c>
      <x:c r="G36" s="25" t="str">
        <x:v>S4</x:v>
      </x:c>
      <x:c r="H36" s="25" t="str">
        <x:v>能够解释该知识并在训练中识别其适用边界</x:v>
      </x:c>
      <x:c r="I36" s="25" t="str">
        <x:v>关卡支持库与每轮智能推荐</x:v>
      </x:c>
      <x:c r="J36" s="26" t="str">
        <x:v>合同成立条款</x:v>
      </x:c>
    </x:row>
    <x:row r="37">
      <x:c r="A37" s="24" t="str">
        <x:v>K048</x:v>
      </x:c>
      <x:c r="B37" s="25" t="str">
        <x:v>业务流程</x:v>
      </x:c>
      <x:c r="C37" s="25" t="str">
        <x:v>订单执行与履约监控</x:v>
      </x:c>
      <x:c r="D37" s="25" t="str">
        <x:v>Order execution and contract performance monitoring</x:v>
      </x:c>
      <x:c r="E37" s="25" t="str">
        <x:v>建立履约档案，跟踪生产里程碑、检验窗口、单证截止时间并明确负责人，尽早发现进度偏差。</x:v>
      </x:c>
      <x:c r="F37" s="25" t="str">
        <x:v>Run a performance file: production milestones, inspection windows, document cut-offs, and a named owner. Drift is cheaper to catch in week two than at the port.</x:v>
      </x:c>
      <x:c r="G37" s="25" t="str">
        <x:v>S4</x:v>
      </x:c>
      <x:c r="H37" s="25" t="str">
        <x:v>能够解释该知识并在训练中识别其适用边界</x:v>
      </x:c>
      <x:c r="I37" s="25" t="str">
        <x:v>关卡支持库与每轮智能推荐</x:v>
      </x:c>
      <x:c r="J37" s="26" t="str">
        <x:v>订单履约监控</x:v>
      </x:c>
    </x:row>
    <x:row r="38">
      <x:c r="A38" s="24" t="str">
        <x:v>K049</x:v>
      </x:c>
      <x:c r="B38" s="25" t="str">
        <x:v>业务流程</x:v>
      </x:c>
      <x:c r="C38" s="25" t="str">
        <x:v>订单交付日期跟踪</x:v>
      </x:c>
      <x:c r="D38" s="25" t="str">
        <x:v>Tracking order delivery dates</x:v>
      </x:c>
      <x:c r="E38" s="25" t="str">
        <x:v>把合同装运窗口倒排为生产、包装、截关和单证计划；一旦滑期立即升级处理，迟延通知本身也可能违约。</x:v>
      </x:c>
      <x:c r="F38" s="25" t="str">
        <x:v>Convert the contractual ship window into a backward schedule (production, packing, cut-off, docs). Escalate slip immediately; late notice itself can be a breach.</x:v>
      </x:c>
      <x:c r="G38" s="25" t="str">
        <x:v>S4</x:v>
      </x:c>
      <x:c r="H38" s="25" t="str">
        <x:v>能够解释该知识并在训练中识别其适用边界</x:v>
      </x:c>
      <x:c r="I38" s="25" t="str">
        <x:v>关卡支持库与每轮智能推荐</x:v>
      </x:c>
      <x:c r="J38" s="26" t="str">
        <x:v>交期跟踪</x:v>
      </x:c>
    </x:row>
    <x:row r="39">
      <x:c r="A39" s="24" t="str">
        <x:v>K050</x:v>
      </x:c>
      <x:c r="B39" s="25" t="str">
        <x:v>法律规则</x:v>
      </x:c>
      <x:c r="C39" s="25" t="str">
        <x:v>合同免责条款</x:v>
      </x:c>
      <x:c r="D39" s="25" t="str">
        <x:v>Contractual exemption clauses</x:v>
      </x:c>
      <x:c r="E39" s="25" t="str">
        <x:v>免责、责任限制和不可抗力条款分配阻碍履约的事件，必须明确并有效纳入合同，且不得排除强制法。</x:v>
      </x:c>
      <x:c r="F39" s="25" t="str">
        <x:v>Exemption, limitation, and force-majeure clauses allocate events that prevent performance. They must be clear, incorporated, and not override mandatory law.</x:v>
      </x:c>
      <x:c r="G39" s="25" t="str">
        <x:v>S4</x:v>
      </x:c>
      <x:c r="H39" s="25" t="str">
        <x:v>能够解释该知识并在训练中识别其适用边界</x:v>
      </x:c>
      <x:c r="I39" s="25" t="str">
        <x:v>关卡支持库与每轮智能推荐</x:v>
      </x:c>
      <x:c r="J39" s="26" t="str">
        <x:v>合同免责条款</x:v>
      </x:c>
    </x:row>
    <x:row r="40">
      <x:c r="A40" s="24" t="str">
        <x:v>K051</x:v>
      </x:c>
      <x:c r="B40" s="25" t="str">
        <x:v>业务流程</x:v>
      </x:c>
      <x:c r="C40" s="25" t="str">
        <x:v>质量保证与售后服务</x:v>
      </x:c>
      <x:c r="D40" s="25" t="str">
        <x:v>Quality assurance and after-sales service</x:v>
      </x:c>
      <x:c r="E40" s="25" t="str">
        <x:v>在订单中明确质量保证、保修、备件和售后响应时间，使发货后投诉有清晰的合同依据。</x:v>
      </x:c>
      <x:c r="F40" s="25" t="str">
        <x:v>Write QA, warranty, spare-parts, and after-sales response times into the order so post-shipment complaints have a contractual home rather than a free-floating dispute.</x:v>
      </x:c>
      <x:c r="G40" s="25" t="str">
        <x:v>S4</x:v>
      </x:c>
      <x:c r="H40" s="25" t="str">
        <x:v>能够解释该知识并在训练中识别其适用边界</x:v>
      </x:c>
      <x:c r="I40" s="25" t="str">
        <x:v>关卡支持库与每轮智能推荐</x:v>
      </x:c>
      <x:c r="J40" s="26" t="str">
        <x:v>质保售后</x:v>
      </x:c>
    </x:row>
    <x:row r="41">
      <x:c r="A41" s="24" t="str">
        <x:v>K052</x:v>
      </x:c>
      <x:c r="B41" s="25" t="str">
        <x:v>概念</x:v>
      </x:c>
      <x:c r="C41" s="25" t="str">
        <x:v>出口包装要求</x:v>
      </x:c>
      <x:c r="D41" s="25" t="str">
        <x:v>Export packaging requirements</x:v>
      </x:c>
      <x:c r="E41" s="25" t="str">
        <x:v>出口包装应承受既定运输方式、装卸、气候和堆码，并符合承运人、保险人及目的地规则，而非仅满足国内零售。</x:v>
      </x:c>
      <x:c r="F41" s="25" t="str">
        <x:v>Export packing must survive the intended mode, handling, climate, and stacking, and must satisfy carrier, insurance, and destination rules — not merely domestic retail packing.</x:v>
      </x:c>
      <x:c r="G41" s="25" t="str">
        <x:v>S5</x:v>
      </x:c>
      <x:c r="H41" s="25" t="str">
        <x:v>能够解释该知识并在训练中识别其适用边界</x:v>
      </x:c>
      <x:c r="I41" s="25" t="str">
        <x:v>关卡支持库与每轮智能推荐</x:v>
      </x:c>
      <x:c r="J41" s="26" t="str">
        <x:v>出口包装要求</x:v>
      </x:c>
    </x:row>
    <x:row r="42">
      <x:c r="A42" s="24" t="str">
        <x:v>K053</x:v>
      </x:c>
      <x:c r="B42" s="25" t="str">
        <x:v>业务流程</x:v>
      </x:c>
      <x:c r="C42" s="25" t="str">
        <x:v>包装材料、防潮与防盗</x:v>
      </x:c>
      <x:c r="D42" s="25" t="str">
        <x:v>Packaging materials, moisture and theft protection</x:v>
      </x:c>
      <x:c r="E42" s="25" t="str">
        <x:v>明确纸板等级、衬垫、干燥剂、阻隔膜、封条和防拆措施，以预防常见的受潮与偷盗损失。</x:v>
      </x:c>
      <x:c r="F42" s="25" t="str">
        <x:v>Specify board grade, liners, desiccant, barrier film, seals, and tamper evidence. Moisture and pilferage are the two most common preventable transit losses.</x:v>
      </x:c>
      <x:c r="G42" s="25" t="str">
        <x:v>S5</x:v>
      </x:c>
      <x:c r="H42" s="25" t="str">
        <x:v>能够解释该知识并在训练中识别其适用边界</x:v>
      </x:c>
      <x:c r="I42" s="25" t="str">
        <x:v>关卡支持库与每轮智能推荐</x:v>
      </x:c>
      <x:c r="J42" s="26" t="str">
        <x:v>防潮防盗包装</x:v>
      </x:c>
    </x:row>
    <x:row r="43">
      <x:c r="A43" s="24" t="str">
        <x:v>K054</x:v>
      </x:c>
      <x:c r="B43" s="25" t="str">
        <x:v>业务流程</x:v>
      </x:c>
      <x:c r="C43" s="25" t="str">
        <x:v>集装箱装载与货物系固</x:v>
      </x:c>
      <x:c r="D43" s="25" t="str">
        <x:v>Container loading and cargo securing</x:v>
      </x:c>
      <x:c r="E43" s="25" t="str">
        <x:v>规划重量分布、垫塞和绑扎，遵守 CSC 与重量限制；装箱不当会在运输中迅速演变为索赔事故。</x:v>
      </x:c>
      <x:c r="F43" s="25" t="str">
        <x:v>Plan stuffing: weight on the floor, no eccentric load, proper blocking/bracing, and CSC/weight limits. A badly stuffed box is a claim waiting for the first swell.</x:v>
      </x:c>
      <x:c r="G43" s="25" t="str">
        <x:v>S5</x:v>
      </x:c>
      <x:c r="H43" s="25" t="str">
        <x:v>能够解释该知识并在训练中识别其适用边界</x:v>
      </x:c>
      <x:c r="I43" s="25" t="str">
        <x:v>关卡支持库与每轮智能推荐</x:v>
      </x:c>
      <x:c r="J43" s="26" t="str">
        <x:v>装箱与系固</x:v>
      </x:c>
    </x:row>
    <x:row r="44">
      <x:c r="A44" s="24" t="str">
        <x:v>K055</x:v>
      </x:c>
      <x:c r="B44" s="25" t="str">
        <x:v>业务流程</x:v>
      </x:c>
      <x:c r="C44" s="25" t="str">
        <x:v>空运与海运包装差异</x:v>
      </x:c>
      <x:c r="D44" s="25" t="str">
        <x:v>Packaging differences: air vs. sea freight</x:v>
      </x:c>
      <x:c r="E44" s="25" t="str">
        <x:v>空运重视轻量、紧凑和 IATA 合规；海运重视防潮、防盐和长期滞留保护，不能直接沿用空运包装。</x:v>
      </x:c>
      <x:c r="F44" s="25" t="str">
        <x:v>Air favours light, compact, IATA-compliant packs; sea favours moisture, salt, and long-dwell protection. Do not reuse an air spec for a 35-day ocean leg.</x:v>
      </x:c>
      <x:c r="G44" s="25" t="str">
        <x:v>S5</x:v>
      </x:c>
      <x:c r="H44" s="25" t="str">
        <x:v>能够解释该知识并在训练中识别其适用边界</x:v>
      </x:c>
      <x:c r="I44" s="25" t="str">
        <x:v>关卡支持库与每轮智能推荐</x:v>
      </x:c>
      <x:c r="J44" s="26" t="str">
        <x:v>空海运包装差异</x:v>
      </x:c>
    </x:row>
    <x:row r="45">
      <x:c r="A45" s="24" t="str">
        <x:v>K056</x:v>
      </x:c>
      <x:c r="B45" s="25" t="str">
        <x:v>业务流程</x:v>
      </x:c>
      <x:c r="C45" s="25" t="str">
        <x:v>包装唛头与标志</x:v>
      </x:c>
      <x:c r="D45" s="25" t="str">
        <x:v>Packaging marks and symbols</x:v>
      </x:c>
      <x:c r="E45" s="25" t="str">
        <x:v>运输唛头用于识别收货人、订单和件号，ISO 搬运标志及联合国编号用于安全操作；错误会导致误运和迟延。</x:v>
      </x:c>
      <x:c r="F45" s="25" t="str">
        <x:v>Shipping marks identify the consignee, order, and package numbers; ISO handling symbols and UN numbers protect handling. Wrong marks cause misdelivery and delay.</x:v>
      </x:c>
      <x:c r="G45" s="25" t="str">
        <x:v>S5</x:v>
      </x:c>
      <x:c r="H45" s="25" t="str">
        <x:v>能够解释该知识并在训练中识别其适用边界</x:v>
      </x:c>
      <x:c r="I45" s="25" t="str">
        <x:v>关卡支持库与每轮智能推荐</x:v>
      </x:c>
      <x:c r="J45" s="26" t="str">
        <x:v>包装唛头标志</x:v>
      </x:c>
    </x:row>
    <x:row r="46">
      <x:c r="A46" s="24" t="str">
        <x:v>K058</x:v>
      </x:c>
      <x:c r="B46" s="25" t="str">
        <x:v>业务流程</x:v>
      </x:c>
      <x:c r="C46" s="25" t="str">
        <x:v>装运通知与货物跟踪</x:v>
      </x:c>
      <x:c r="D46" s="25" t="str">
        <x:v>Shipping notification and tracking</x:v>
      </x:c>
      <x:c r="E46" s="25" t="str">
        <x:v>发运后立即提供船名或航班、提单号或运单号、预计到达时间和唛头，供买方、银行及保险人跟踪。</x:v>
      </x:c>
      <x:c r="F46" s="25" t="str">
        <x:v>Send a shipping advice (vessel/flight, B/L or AWB, ETAs, marks) as soon as dispatched. Tracking feeds the buyer, the bank, and the insurer.</x:v>
      </x:c>
      <x:c r="G46" s="25" t="str">
        <x:v>S5</x:v>
      </x:c>
      <x:c r="H46" s="25" t="str">
        <x:v>能够解释该知识并在训练中识别其适用边界</x:v>
      </x:c>
      <x:c r="I46" s="25" t="str">
        <x:v>关卡支持库与每轮智能推荐</x:v>
      </x:c>
      <x:c r="J46" s="26" t="str">
        <x:v>装运通知跟踪</x:v>
      </x:c>
    </x:row>
    <x:row r="47">
      <x:c r="A47" s="24" t="str">
        <x:v>K059</x:v>
      </x:c>
      <x:c r="B47" s="25" t="str">
        <x:v>跨文化</x:v>
      </x:c>
      <x:c r="C47" s="25" t="str">
        <x:v>装运中的文化敏感性</x:v>
      </x:c>
      <x:c r="D47" s="25" t="str">
        <x:v>Cultural sensitivities in shipping</x:v>
      </x:c>
      <x:c r="E47" s="25" t="str">
        <x:v>外包装和单据应避免不吉利数字、颜色及宗教图案，并考虑目的地节假日对港口作业与截关时间的影响。</x:v>
      </x:c>
      <x:c r="F47" s="25" t="str">
        <x:v>Avoid unlucky numbers, colours, or religious motifs on outer packs and documents. Destination holidays also shift port working days and cut-offs.</x:v>
      </x:c>
      <x:c r="G47" s="25" t="str">
        <x:v>S5</x:v>
      </x:c>
      <x:c r="H47" s="25" t="str">
        <x:v>能够解释该知识并在训练中识别其适用边界</x:v>
      </x:c>
      <x:c r="I47" s="25" t="str">
        <x:v>关卡支持库与每轮智能推荐</x:v>
      </x:c>
      <x:c r="J47" s="26" t="str">
        <x:v>装运文化敏感</x:v>
      </x:c>
    </x:row>
    <x:row r="48">
      <x:c r="A48" s="24" t="str">
        <x:v>K060</x:v>
      </x:c>
      <x:c r="B48" s="25" t="str">
        <x:v>法律规则</x:v>
      </x:c>
      <x:c r="C48" s="25" t="str">
        <x:v>包装环保与监管要求</x:v>
      </x:c>
      <x:c r="D48" s="25" t="str">
        <x:v>Packaging environmental protection and regulations</x:v>
      </x:c>
      <x:c r="E48" s="25" t="str">
        <x:v>木质包装须遵守 ISPM 15，还应满足目的地包装废弃物和塑料限制；违规不仅是环保问题，也会阻碍通关。</x:v>
      </x:c>
      <x:c r="F48" s="25" t="str">
        <x:v>ISPM-15 for wood, destination packaging-waste rules, and plastic restrictions can block entry. Non-compliant packing is a customs problem, not only a green one.</x:v>
      </x:c>
      <x:c r="G48" s="25" t="str">
        <x:v>S5</x:v>
      </x:c>
      <x:c r="H48" s="25" t="str">
        <x:v>能够解释该知识并在训练中识别其适用边界</x:v>
      </x:c>
      <x:c r="I48" s="25" t="str">
        <x:v>关卡支持库与每轮智能推荐</x:v>
      </x:c>
      <x:c r="J48" s="26" t="str">
        <x:v>包装环保法规</x:v>
      </x:c>
    </x:row>
    <x:row r="49">
      <x:c r="A49" s="24" t="str">
        <x:v>K062</x:v>
      </x:c>
      <x:c r="B49" s="25" t="str">
        <x:v>业务流程</x:v>
      </x:c>
      <x:c r="C49" s="25" t="str">
        <x:v>货运代理选择与协作</x:v>
      </x:c>
      <x:c r="D49" s="25" t="str">
        <x:v>Selection and cooperation with freight forwarders</x:v>
      </x:c>
      <x:c r="E49" s="25" t="str">
        <x:v>核验货代资质、航线和理赔记录，提供完整托运指示并指定统一负责人，避免单证和截关失控。</x:v>
      </x:c>
      <x:c r="F49" s="25" t="str">
        <x:v>Vet licences, lanes, and claims record. Give the forwarder a complete SI (shipping instruction) and one named owner so documents and cut-offs do not drift.</x:v>
      </x:c>
      <x:c r="G49" s="25" t="str">
        <x:v>S5</x:v>
      </x:c>
      <x:c r="H49" s="25" t="str">
        <x:v>能够解释该知识并在训练中识别其适用边界</x:v>
      </x:c>
      <x:c r="I49" s="25" t="str">
        <x:v>关卡支持库与每轮智能推荐</x:v>
      </x:c>
      <x:c r="J49" s="26" t="str">
        <x:v>货代选择协作</x:v>
      </x:c>
    </x:row>
    <x:row r="50">
      <x:c r="A50" s="24" t="str">
        <x:v>K063</x:v>
      </x:c>
      <x:c r="B50" s="25" t="str">
        <x:v>业务流程</x:v>
      </x:c>
      <x:c r="C50" s="25" t="str">
        <x:v>装运时间管理</x:v>
      </x:c>
      <x:c r="D50" s="25" t="str">
        <x:v>Shipment timing management</x:v>
      </x:c>
      <x:c r="E50" s="25" t="str">
        <x:v>从最迟装运日倒排工厂、包装、堆场截关和单证截止，并为拥堵与检验预留缓冲。</x:v>
      </x:c>
      <x:c r="F50" s="25" t="str">
        <x:v>Work backward from the contractual latest ship date through factory, packing, CY cut-off, and doc cut-off. Build a buffer for congestion and inspection.</x:v>
      </x:c>
      <x:c r="G50" s="25" t="str">
        <x:v>S5</x:v>
      </x:c>
      <x:c r="H50" s="25" t="str">
        <x:v>能够解释该知识并在训练中识别其适用边界</x:v>
      </x:c>
      <x:c r="I50" s="25" t="str">
        <x:v>关卡支持库与每轮智能推荐</x:v>
      </x:c>
      <x:c r="J50" s="26" t="str">
        <x:v>装运时间管理</x:v>
      </x:c>
    </x:row>
    <x:row r="51">
      <x:c r="A51" s="24" t="str">
        <x:v>K064</x:v>
      </x:c>
      <x:c r="B51" s="25" t="str">
        <x:v>风险控制</x:v>
      </x:c>
      <x:c r="C51" s="25" t="str">
        <x:v>装运风险管理</x:v>
      </x:c>
      <x:c r="D51" s="25" t="str">
        <x:v>Risk management in shipping</x:v>
      </x:c>
      <x:c r="E51" s="25" t="str">
        <x:v>识别盗窃、受潮、迟延、误报和舱面装载风险，协调贸易术语、包装、系固及运输保险承担方。</x:v>
      </x:c>
      <x:c r="F51" s="25" t="str">
        <x:v>Map theft, moisture, delay, misdeclaration, and on-deck stowage. Align Incoterms, packing, securing, and whether transport insurance sits with seller or buyer.</x:v>
      </x:c>
      <x:c r="G51" s="25" t="str">
        <x:v>S5</x:v>
      </x:c>
      <x:c r="H51" s="25" t="str">
        <x:v>能够解释该知识并在训练中识别其适用边界</x:v>
      </x:c>
      <x:c r="I51" s="25" t="str">
        <x:v>关卡支持库与每轮智能推荐</x:v>
      </x:c>
      <x:c r="J51" s="26" t="str">
        <x:v>装运风险管理</x:v>
      </x:c>
    </x:row>
    <x:row r="52">
      <x:c r="A52" s="24" t="str">
        <x:v>K065</x:v>
      </x:c>
      <x:c r="B52" s="25" t="str">
        <x:v>业务流程</x:v>
      </x:c>
      <x:c r="C52" s="25" t="str">
        <x:v>国际运输规则、海关与港口物流</x:v>
      </x:c>
      <x:c r="D52" s="25" t="str">
        <x:v>International transport rules, customs, and port logistics</x:v>
      </x:c>
      <x:c r="E52" s="25" t="str">
        <x:v>提单功能、承运人责任、ISF/ENS 申报及港口协同共同决定货物能否顺利流转，海关错误会直接造成停滞。</x:v>
      </x:c>
      <x:c r="F52" s="25" t="str">
        <x:v>B/L functions, Hague-Visby/Rotterdam liability, ISF/ENS filings, and port coordination determine whether cargo moves or sits. Customs errors stop the clock.</x:v>
      </x:c>
      <x:c r="G52" s="25" t="str">
        <x:v>S5</x:v>
      </x:c>
      <x:c r="H52" s="25" t="str">
        <x:v>能够解释该知识并在训练中识别其适用边界</x:v>
      </x:c>
      <x:c r="I52" s="25" t="str">
        <x:v>关卡支持库与每轮智能推荐</x:v>
      </x:c>
      <x:c r="J52" s="26" t="str">
        <x:v>运输海关港口规则</x:v>
      </x:c>
    </x:row>
    <x:row r="53">
      <x:c r="A53" s="24" t="str">
        <x:v>K066</x:v>
      </x:c>
      <x:c r="B53" s="25" t="str">
        <x:v>法律规则</x:v>
      </x:c>
      <x:c r="C53" s="25" t="str">
        <x:v>信用证的开立、条款与解释</x:v>
      </x:c>
      <x:c r="D53" s="25" t="str">
        <x:v>Letter of Credit (L/C): issuance, terms, and interpretation</x:v>
      </x:c>
      <x:c r="E53" s="25" t="str">
        <x:v>信用证是银行依 UCP 600 对相符单据付款的独立承诺；每一字段都应准确起草和审核，银行处理单据而非货物。</x:v>
      </x:c>
      <x:c r="F53" s="25" t="str">
        <x:v>An L/C is a bank’s independent undertaking to pay against complying documents (UCP 600). Draft and check every field; banks honour documents, not goods.</x:v>
      </x:c>
      <x:c r="G53" s="25" t="str">
        <x:v>S6</x:v>
      </x:c>
      <x:c r="H53" s="25" t="str">
        <x:v>能够解释该知识并在训练中识别其适用边界</x:v>
      </x:c>
      <x:c r="I53" s="25" t="str">
        <x:v>关卡支持库与每轮智能推荐</x:v>
      </x:c>
      <x:c r="J53" s="26" t="str">
        <x:v>信用证规则</x:v>
      </x:c>
    </x:row>
    <x:row r="54">
      <x:c r="A54" s="24" t="str">
        <x:v>K067</x:v>
      </x:c>
      <x:c r="B54" s="25" t="str">
        <x:v>概念</x:v>
      </x:c>
      <x:c r="C54" s="25" t="str">
        <x:v>电汇（T/T）</x:v>
      </x:c>
      <x:c r="D54" s="25" t="str">
        <x:v>Telegraphic Transfer (T/T)</x:v>
      </x:c>
      <x:c r="E54" s="25" t="str">
        <x:v>T/T 是银行电汇；预付保护卖方，见提单副本或到货后付余款则增加卖方风险，触发条件必须书面明确。</x:v>
      </x:c>
      <x:c r="F54" s="25" t="str">
        <x:v>T/T is a bank wire. Advance T/T protects the seller; balance-after-copy-B/L or after-arrival shifts risk to the seller. Always define the trigger event in writing.</x:v>
      </x:c>
      <x:c r="G54" s="25" t="str">
        <x:v>S6</x:v>
      </x:c>
      <x:c r="H54" s="25" t="str">
        <x:v>能够解释该知识并在训练中识别其适用边界</x:v>
      </x:c>
      <x:c r="I54" s="25" t="str">
        <x:v>关卡支持库与每轮智能推荐</x:v>
      </x:c>
      <x:c r="J54" s="26" t="str">
        <x:v>电汇 T/T</x:v>
      </x:c>
    </x:row>
    <x:row r="55">
      <x:c r="A55" s="24" t="str">
        <x:v>K068</x:v>
      </x:c>
      <x:c r="B55" s="25" t="str">
        <x:v>概念</x:v>
      </x:c>
      <x:c r="C55" s="25" t="str">
        <x:v>跟单托收（D/P、D/A）</x:v>
      </x:c>
      <x:c r="D55" s="25" t="str">
        <x:v>Documentary Collection (D/P, D/A)</x:v>
      </x:c>
      <x:c r="E55" s="25" t="str">
        <x:v>D/P 凭付款交单，D/A 凭承兑远期汇票交单，适用 URC 522；银行不提供付款保证，D/A 本质上属于信用风险。</x:v>
      </x:c>
      <x:c r="F55" s="25" t="str">
        <x:v>D/P releases documents against payment; D/A against acceptance of a tenor draft (URC 522). The bank is not a guarantor — D/A is essentially credit risk.</x:v>
      </x:c>
      <x:c r="G55" s="25" t="str">
        <x:v>S6</x:v>
      </x:c>
      <x:c r="H55" s="25" t="str">
        <x:v>能够解释该知识并在训练中识别其适用边界</x:v>
      </x:c>
      <x:c r="I55" s="25" t="str">
        <x:v>关卡支持库与每轮智能推荐</x:v>
      </x:c>
      <x:c r="J55" s="26" t="str">
        <x:v>跟单托收</x:v>
      </x:c>
    </x:row>
    <x:row r="56">
      <x:c r="A56" s="24" t="str">
        <x:v>K071</x:v>
      </x:c>
      <x:c r="B56" s="25" t="str">
        <x:v>法律规则</x:v>
      </x:c>
      <x:c r="C56" s="25" t="str">
        <x:v>交付条件与验收标准</x:v>
      </x:c>
      <x:c r="D56" s="25" t="str">
        <x:v>Delivery terms and acceptance standards</x:v>
      </x:c>
      <x:c r="E56" s="25" t="str">
        <x:v>Incoterms 分配交货点、费用和风险，但不自动规定质量验收；合同应明确何时视为验收及何种证据有效。</x:v>
      </x:c>
      <x:c r="F56" s="25" t="str">
        <x:v>Incoterms allocate delivery point, cost, and risk; they do not by themselves define quality acceptance. Spell out when goods are accepted and what evidence counts.</x:v>
      </x:c>
      <x:c r="G56" s="25" t="str">
        <x:v>S6</x:v>
      </x:c>
      <x:c r="H56" s="25" t="str">
        <x:v>能够解释该知识并在训练中识别其适用边界</x:v>
      </x:c>
      <x:c r="I56" s="25" t="str">
        <x:v>关卡支持库与每轮智能推荐</x:v>
      </x:c>
      <x:c r="J56" s="26" t="str">
        <x:v>交付验收标准</x:v>
      </x:c>
    </x:row>
    <x:row r="57">
      <x:c r="A57" s="24" t="str">
        <x:v>K072</x:v>
      </x:c>
      <x:c r="B57" s="25" t="str">
        <x:v>跨文化</x:v>
      </x:c>
      <x:c r="C57" s="25" t="str">
        <x:v>付款与交付的跨文化差异</x:v>
      </x:c>
      <x:c r="D57" s="25" t="str">
        <x:v>Cross-cultural differences in payment and delivery</x:v>
      </x:c>
      <x:c r="E57" s="25" t="str">
        <x:v>不同市场对 30% T/T 或保兑信用证的信任惯例不同，不应把风险控制要求理解为对个人的不信任。</x:v>
      </x:c>
      <x:c r="F57" s="25" t="str">
        <x:v>Some markets treat 30% T/T as normal trust; others insist on confirmed L/C even for repeat orders. Do not read a payment demand as a personal insult.</x:v>
      </x:c>
      <x:c r="G57" s="25" t="str">
        <x:v>S6</x:v>
      </x:c>
      <x:c r="H57" s="25" t="str">
        <x:v>能够解释该知识并在训练中识别其适用边界</x:v>
      </x:c>
      <x:c r="I57" s="25" t="str">
        <x:v>关卡支持库与每轮智能推荐</x:v>
      </x:c>
      <x:c r="J57" s="26" t="str">
        <x:v>付款跨文化差异</x:v>
      </x:c>
    </x:row>
    <x:row r="58">
      <x:c r="A58" s="24" t="str">
        <x:v>K074</x:v>
      </x:c>
      <x:c r="B58" s="25" t="str">
        <x:v>法律规则</x:v>
      </x:c>
      <x:c r="C58" s="25" t="str">
        <x:v>交付迟延与合同违约</x:v>
      </x:c>
      <x:c r="D58" s="25" t="str">
        <x:v>Delivery delays and breach of contract</x:v>
      </x:c>
      <x:c r="E58" s="25" t="str">
        <x:v>迟延交付原则上构成违约；CISG 第47—52条及第74—77条涉及宽限期、宣告合同无效、损害赔偿和减损义务。</x:v>
      </x:c>
      <x:c r="F58" s="25" t="str">
        <x:v>Late delivery is a breach unless an exemption applies. CISG Arts. 47–52 and 74–77 govern Nachfrist, avoidance, and damages, including the duty to mitigate.</x:v>
      </x:c>
      <x:c r="G58" s="25" t="str">
        <x:v>S6</x:v>
      </x:c>
      <x:c r="H58" s="25" t="str">
        <x:v>能够解释该知识并在训练中识别其适用边界</x:v>
      </x:c>
      <x:c r="I58" s="25" t="str">
        <x:v>关卡支持库与每轮智能推荐</x:v>
      </x:c>
      <x:c r="J58" s="26" t="str">
        <x:v>迟延交付违约</x:v>
      </x:c>
    </x:row>
    <x:row r="59">
      <x:c r="A59" s="24" t="str">
        <x:v>K075</x:v>
      </x:c>
      <x:c r="B59" s="25" t="str">
        <x:v>风险控制</x:v>
      </x:c>
      <x:c r="C59" s="25" t="str">
        <x:v>汇率风险管理</x:v>
      </x:c>
      <x:c r="D59" s="25" t="str">
        <x:v>Exchange rate risk management</x:v>
      </x:c>
      <x:c r="E59" s="25" t="str">
        <x:v>可通过选择可控币种、缩短有效期、分拆发票或远期套期保值控制风险；未对冲的长期 T/T 等同隐性降价。</x:v>
      </x:c>
      <x:c r="F59" s="25" t="str">
        <x:v>Quote in a managed currency, shorten validity, split invoices, or hedge with forwards. An unhedged 90-day T/T in a volatile pair is a hidden price cut.</x:v>
      </x:c>
      <x:c r="G59" s="25" t="str">
        <x:v>S6</x:v>
      </x:c>
      <x:c r="H59" s="25" t="str">
        <x:v>能够解释该知识并在训练中识别其适用边界</x:v>
      </x:c>
      <x:c r="I59" s="25" t="str">
        <x:v>关卡支持库与每轮智能推荐</x:v>
      </x:c>
      <x:c r="J59" s="26" t="str">
        <x:v>汇率风险管理</x:v>
      </x:c>
    </x:row>
    <x:row r="60">
      <x:c r="A60" s="24" t="str">
        <x:v>K077</x:v>
      </x:c>
      <x:c r="B60" s="25" t="str">
        <x:v>业务流程</x:v>
      </x:c>
      <x:c r="C60" s="25" t="str">
        <x:v>国际银行业务与托收技巧</x:v>
      </x:c>
      <x:c r="D60" s="25" t="str">
        <x:v>International banking operations and collection techniques</x:v>
      </x:c>
      <x:c r="E60" s="25" t="str">
        <x:v>掌握开证、通知、保兑、交单、不符点和托收周期，并以完整单据轨迹追收款项，而非只靠催促。</x:v>
      </x:c>
      <x:c r="F60" s="25" t="str">
        <x:v>Know issuance, advising, confirmation, presentation, discrepancy, and collection cycles. Chase unpaid items with a document trail, not only with reminders.</x:v>
      </x:c>
      <x:c r="G60" s="25" t="str">
        <x:v>S6</x:v>
      </x:c>
      <x:c r="H60" s="25" t="str">
        <x:v>能够解释该知识并在训练中识别其适用边界</x:v>
      </x:c>
      <x:c r="I60" s="25" t="str">
        <x:v>关卡支持库与每轮智能推荐</x:v>
      </x:c>
      <x:c r="J60" s="26" t="str">
        <x:v>银行与托收操作</x:v>
      </x:c>
    </x:row>
    <x:row r="61">
      <x:c r="A61" s="24" t="str">
        <x:v>K078</x:v>
      </x:c>
      <x:c r="B61" s="25" t="str">
        <x:v>概念</x:v>
      </x:c>
      <x:c r="C61" s="25" t="str">
        <x:v>商品检验的定义</x:v>
      </x:c>
      <x:c r="D61" s="25" t="str">
        <x:v>Definition of commodity inspection</x:v>
      </x:c>
      <x:c r="E61" s="25" t="str">
        <x:v>商品检验是依合同或法规对质量、数量、包装和安全进行审查，并形成可能影响付款的检验证书。</x:v>
      </x:c>
      <x:c r="F61" s="25" t="str">
        <x:v>Commodity inspection is the contractual or statutory examination of quality, quantity, packing, and safety, producing a certificate that may condition payment.</x:v>
      </x:c>
      <x:c r="G61" s="25" t="str">
        <x:v>S7</x:v>
      </x:c>
      <x:c r="H61" s="25" t="str">
        <x:v>能够解释该知识并在训练中识别其适用边界</x:v>
      </x:c>
      <x:c r="I61" s="25" t="str">
        <x:v>关卡支持库与每轮智能推荐</x:v>
      </x:c>
      <x:c r="J61" s="26" t="str">
        <x:v>商品检验定义</x:v>
      </x:c>
    </x:row>
    <x:row r="62">
      <x:c r="A62" s="24" t="str">
        <x:v>K079</x:v>
      </x:c>
      <x:c r="B62" s="25" t="str">
        <x:v>业务流程</x:v>
      </x:c>
      <x:c r="C62" s="25" t="str">
        <x:v>商品检验流程</x:v>
      </x:c>
      <x:c r="D62" s="25" t="str">
        <x:v>Commodity inspection process</x:v>
      </x:c>
      <x:c r="E62" s="25" t="str">
        <x:v>典型流程为约定标准与地点、预约机构、检验或抽样、签发证书及必要时复验，并应纳入生产计划。</x:v>
      </x:c>
      <x:c r="F62" s="25" t="str">
        <x:v>Typical flow: agree standard and place → book the agency → inspect/sample → issue certificate → (if needed) re-inspect. Build the booking into the production plan.</x:v>
      </x:c>
      <x:c r="G62" s="25" t="str">
        <x:v>S7</x:v>
      </x:c>
      <x:c r="H62" s="25" t="str">
        <x:v>能够解释该知识并在训练中识别其适用边界</x:v>
      </x:c>
      <x:c r="I62" s="25" t="str">
        <x:v>关卡支持库与每轮智能推荐</x:v>
      </x:c>
      <x:c r="J62" s="26" t="str">
        <x:v>商品检验流程</x:v>
      </x:c>
    </x:row>
    <x:row r="63">
      <x:c r="A63" s="24" t="str">
        <x:v>K080</x:v>
      </x:c>
      <x:c r="B63" s="25" t="str">
        <x:v>业务流程</x:v>
      </x:c>
      <x:c r="C63" s="25" t="str">
        <x:v>检验标准、方法与抽样</x:v>
      </x:c>
      <x:c r="D63" s="25" t="str">
        <x:v>Inspection standards, methods, and sampling</x:v>
      </x:c>
      <x:c r="E63" s="25" t="str">
        <x:v>明确 ISO、GB、ASTM 或买方标准、检验方法、AQL 抽样方案和实验室；无封样的“凭样品质”不足以构成标准。</x:v>
      </x:c>
      <x:c r="F63" s="25" t="str">
        <x:v>Name the standard (ISO, GB, ASTM, buyer spec), the method, AQL/sampling plan, and the lab. 'Quality as per sample' without a sealed sample is not a standard.</x:v>
      </x:c>
      <x:c r="G63" s="25" t="str">
        <x:v>S7</x:v>
      </x:c>
      <x:c r="H63" s="25" t="str">
        <x:v>能够解释该知识并在训练中识别其适用边界</x:v>
      </x:c>
      <x:c r="I63" s="25" t="str">
        <x:v>关卡支持库与每轮智能推荐</x:v>
      </x:c>
      <x:c r="J63" s="26" t="str">
        <x:v>检验标准抽样</x:v>
      </x:c>
    </x:row>
    <x:row r="64">
      <x:c r="A64" s="24" t="str">
        <x:v>K081</x:v>
      </x:c>
      <x:c r="B64" s="25" t="str">
        <x:v>法律规则</x:v>
      </x:c>
      <x:c r="C64" s="25" t="str">
        <x:v>检验地点与时间</x:v>
      </x:c>
      <x:c r="D64" s="25" t="str">
        <x:v>Inspection location and timing</x:v>
      </x:c>
      <x:c r="E64" s="25" t="str">
        <x:v>产地检验更有利于卖方收款，目的地检验更保护买方使用利益；合同应明确何者为最终检验及到货后期限。</x:v>
      </x:c>
      <x:c r="F64" s="25" t="str">
        <x:v>Origin inspection protects the seller’s payment; destination inspection protects the buyer’s use. The contract must say which is final, and within how many days of arrival.</x:v>
      </x:c>
      <x:c r="G64" s="25" t="str">
        <x:v>S7</x:v>
      </x:c>
      <x:c r="H64" s="25" t="str">
        <x:v>能够解释该知识并在训练中识别其适用边界</x:v>
      </x:c>
      <x:c r="I64" s="25" t="str">
        <x:v>关卡支持库与每轮智能推荐</x:v>
      </x:c>
      <x:c r="J64" s="26" t="str">
        <x:v>检验地点时间</x:v>
      </x:c>
    </x:row>
    <x:row r="65">
      <x:c r="A65" s="24" t="str">
        <x:v>K082</x:v>
      </x:c>
      <x:c r="B65" s="25" t="str">
        <x:v>业务流程</x:v>
      </x:c>
      <x:c r="C65" s="25" t="str">
        <x:v>检验证书与单据</x:v>
      </x:c>
      <x:c r="D65" s="25" t="str">
        <x:v>Inspection certificates and documents</x:v>
      </x:c>
      <x:c r="E65" s="25" t="str">
        <x:v>检验证书中的品名、数量和原产地应与信用证及商业单据一致；CIQ/SGS 证书上的错字也可能构成不符点。</x:v>
      </x:c>
      <x:c r="F65" s="25" t="str">
        <x:v>Certificates must match the L/C and commercial docs on description, quantity, and origin. A typo on a CIQ/SGS certificate is a discrepancy, not a detail.</x:v>
      </x:c>
      <x:c r="G65" s="25" t="str">
        <x:v>S7</x:v>
      </x:c>
      <x:c r="H65" s="25" t="str">
        <x:v>能够解释该知识并在训练中识别其适用边界</x:v>
      </x:c>
      <x:c r="I65" s="25" t="str">
        <x:v>关卡支持库与每轮智能推荐</x:v>
      </x:c>
      <x:c r="J65" s="26" t="str">
        <x:v>检验证书单据</x:v>
      </x:c>
    </x:row>
    <x:row r="66">
      <x:c r="A66" s="24" t="str">
        <x:v>K083</x:v>
      </x:c>
      <x:c r="B66" s="25" t="str">
        <x:v>业务流程</x:v>
      </x:c>
      <x:c r="C66" s="25" t="str">
        <x:v>检验争议与复验处理</x:v>
      </x:c>
      <x:c r="D66" s="25" t="str">
        <x:v>Handling inspection disputes and re-inspection</x:v>
      </x:c>
      <x:c r="E66" s="25" t="str">
        <x:v>保存样品、安排联合检验并依合同进行复验；检验人员到场前不得卸货、返工或销毁证据。</x:v>
      </x:c>
      <x:c r="F66" s="25" t="str">
        <x:v>Preserve samples, call a joint survey, and follow the contractual re-inspection path. Do not unload, rework, or destroy evidence before the surveyor attends.</x:v>
      </x:c>
      <x:c r="G66" s="25" t="str">
        <x:v>S7</x:v>
      </x:c>
      <x:c r="H66" s="25" t="str">
        <x:v>能够解释该知识并在训练中识别其适用边界</x:v>
      </x:c>
      <x:c r="I66" s="25" t="str">
        <x:v>关卡支持库与每轮智能推荐</x:v>
      </x:c>
      <x:c r="J66" s="26" t="str">
        <x:v>检验争议复验</x:v>
      </x:c>
    </x:row>
    <x:row r="67">
      <x:c r="A67" s="24" t="str">
        <x:v>K084</x:v>
      </x:c>
      <x:c r="B67" s="25" t="str">
        <x:v>跨文化</x:v>
      </x:c>
      <x:c r="C67" s="25" t="str">
        <x:v>商品检验的跨文化差异</x:v>
      </x:c>
      <x:c r="D67" s="25" t="str">
        <x:v>Cross-cultural differences in commodity inspection</x:v>
      </x:c>
      <x:c r="E67" s="25" t="str">
        <x:v>各市场对商业容差的接受度不同，有的任何偏差都拒收，有的倾向议价；应把容差写入合同而非依赖假设。</x:v>
      </x:c>
      <x:c r="F67" s="25" t="str">
        <x:v>Tolerance for 'commercial difference' varies. Some buyers treat any deviation as rejection; others expect a price talk. Write the tolerance, do not assume it.</x:v>
      </x:c>
      <x:c r="G67" s="25" t="str">
        <x:v>S7</x:v>
      </x:c>
      <x:c r="H67" s="25" t="str">
        <x:v>能够解释该知识并在训练中识别其适用边界</x:v>
      </x:c>
      <x:c r="I67" s="25" t="str">
        <x:v>关卡支持库与每轮智能推荐</x:v>
      </x:c>
      <x:c r="J67" s="26" t="str">
        <x:v>检验跨文化差异</x:v>
      </x:c>
    </x:row>
    <x:row r="68">
      <x:c r="A68" s="24" t="str">
        <x:v>K086</x:v>
      </x:c>
      <x:c r="B68" s="25" t="str">
        <x:v>法律规则</x:v>
      </x:c>
      <x:c r="C68" s="25" t="str">
        <x:v>检验费用及其分配</x:v>
      </x:c>
      <x:c r="D68" s="25" t="str">
        <x:v>Inspection costs and allocation</x:v>
      </x:c>
      <x:c r="E68" s="25" t="str">
        <x:v>明确首次检验、首次不合格后的复验费用由谁承担，以及相关费用能否作为损害赔偿追偿。</x:v>
      </x:c>
      <x:c r="F68" s="25" t="str">
        <x:v>State who pays first inspection, who pays re-inspection if the first fails, and whether failed-inspection costs are recoverable as damages.</x:v>
      </x:c>
      <x:c r="G68" s="25" t="str">
        <x:v>S7</x:v>
      </x:c>
      <x:c r="H68" s="25" t="str">
        <x:v>能够解释该知识并在训练中识别其适用边界</x:v>
      </x:c>
      <x:c r="I68" s="25" t="str">
        <x:v>关卡支持库与每轮智能推荐</x:v>
      </x:c>
      <x:c r="J68" s="26" t="str">
        <x:v>检验费用分配</x:v>
      </x:c>
    </x:row>
    <x:row r="69">
      <x:c r="A69" s="24" t="str">
        <x:v>K087</x:v>
      </x:c>
      <x:c r="B69" s="25" t="str">
        <x:v>概念</x:v>
      </x:c>
      <x:c r="C69" s="25" t="str">
        <x:v>检验与保险的关系</x:v>
      </x:c>
      <x:c r="D69" s="25" t="str">
        <x:v>Relationship between inspection and insurance</x:v>
      </x:c>
      <x:c r="E69" s="25" t="str">
        <x:v>产地清洁证书不能证明风险转移时货物必然完好，若损失属于运输风险，应协调检验时间与保险调查。</x:v>
      </x:c>
      <x:c r="F69" s="25" t="str">
        <x:v>A clean origin certificate does not prove the cargo was sound at the risk-transfer point if later damage is a transit peril. Coordinate survey timing with the insurer.</x:v>
      </x:c>
      <x:c r="G69" s="25" t="str">
        <x:v>S7</x:v>
      </x:c>
      <x:c r="H69" s="25" t="str">
        <x:v>能够解释该知识并在训练中识别其适用边界</x:v>
      </x:c>
      <x:c r="I69" s="25" t="str">
        <x:v>关卡支持库与每轮智能推荐</x:v>
      </x:c>
      <x:c r="J69" s="26" t="str">
        <x:v>检验保险关系</x:v>
      </x:c>
    </x:row>
    <x:row r="70">
      <x:c r="A70" s="24" t="str">
        <x:v>K088</x:v>
      </x:c>
      <x:c r="B70" s="25" t="str">
        <x:v>法律规则</x:v>
      </x:c>
      <x:c r="C70" s="25" t="str">
        <x:v>商品检验法规与质量控制</x:v>
      </x:c>
      <x:c r="D70" s="25" t="str">
        <x:v>Commodity inspection laws and quality control</x:v>
      </x:c>
      <x:c r="E70" s="25" t="str">
        <x:v>法定检验、出口许可和目的地 SPS 要求叠加于合同之上，工厂质量控制应同时满足合同和法定标准。</x:v>
      </x:c>
      <x:c r="F70" s="25" t="str">
        <x:v>Statutory inspection (export licensing, destination SPS) sits on top of the contract. Factory QC should be designed to pass both the contract spec and the statutory one.</x:v>
      </x:c>
      <x:c r="G70" s="25" t="str">
        <x:v>S7</x:v>
      </x:c>
      <x:c r="H70" s="25" t="str">
        <x:v>能够解释该知识并在训练中识别其适用边界</x:v>
      </x:c>
      <x:c r="I70" s="25" t="str">
        <x:v>关卡支持库与每轮智能推荐</x:v>
      </x:c>
      <x:c r="J70" s="26" t="str">
        <x:v>检验法规质控</x:v>
      </x:c>
    </x:row>
    <x:row r="71">
      <x:c r="A71" s="24" t="str">
        <x:v>K089</x:v>
      </x:c>
      <x:c r="B71" s="25" t="str">
        <x:v>业务流程</x:v>
      </x:c>
      <x:c r="C71" s="25" t="str">
        <x:v>多国检验、认证与环保测试</x:v>
      </x:c>
      <x:c r="D71" s="25" t="str">
        <x:v>Multi-country inspection, certification, and environmental testing</x:v>
      </x:c>
      <x:c r="E71" s="25" t="str">
        <x:v>将 CE、FDA、REACH、能效和实验室测试纳入关键路径；目的地化学测试失败通常无法仅靠商业折扣补救。</x:v>
      </x:c>
      <x:c r="F71" s="25" t="str">
        <x:v>Plan CE, FDA, REACH, energy, and lab tests into the critical path. A failed chemical test at destination cannot be cured by a commercial discount alone.</x:v>
      </x:c>
      <x:c r="G71" s="25" t="str">
        <x:v>S7</x:v>
      </x:c>
      <x:c r="H71" s="25" t="str">
        <x:v>能够解释该知识并在训练中识别其适用边界</x:v>
      </x:c>
      <x:c r="I71" s="25" t="str">
        <x:v>关卡支持库与每轮智能推荐</x:v>
      </x:c>
      <x:c r="J71" s="26" t="str">
        <x:v>多国认证测试</x:v>
      </x:c>
    </x:row>
    <x:row r="72">
      <x:c r="A72" s="24" t="str">
        <x:v>K090</x:v>
      </x:c>
      <x:c r="B72" s="25" t="str">
        <x:v>概念</x:v>
      </x:c>
      <x:c r="C72" s="25" t="str">
        <x:v>货物运输保险的定义</x:v>
      </x:c>
      <x:c r="D72" s="25" t="str">
        <x:v>Definition of cargo insurance</x:v>
      </x:c>
      <x:c r="E72" s="25" t="str">
        <x:v>货物运输保险补偿运输期间承保危险造成的损失，是独立于买卖合同和承运人责任的损失补偿合同。</x:v>
      </x:c>
      <x:c r="F72" s="25" t="str">
        <x:v>Cargo insurance indemnifies insured perils during transit. It is a contract of indemnity, separate from the sale contract and from the carrier’s liability.</x:v>
      </x:c>
      <x:c r="G72" s="25" t="str">
        <x:v>S8</x:v>
      </x:c>
      <x:c r="H72" s="25" t="str">
        <x:v>能够解释该知识并在训练中识别其适用边界</x:v>
      </x:c>
      <x:c r="I72" s="25" t="str">
        <x:v>关卡支持库与每轮智能推荐</x:v>
      </x:c>
      <x:c r="J72" s="26" t="str">
        <x:v>货运保险定义</x:v>
      </x:c>
    </x:row>
    <x:row r="73">
      <x:c r="A73" s="24" t="str">
        <x:v>K092</x:v>
      </x:c>
      <x:c r="B73" s="25" t="str">
        <x:v>业务流程</x:v>
      </x:c>
      <x:c r="C73" s="25" t="str">
        <x:v>保险金额、估值与保费计算</x:v>
      </x:c>
      <x:c r="D73" s="25" t="str">
        <x:v>Insured amount, valuation, and premium calculation</x:v>
      </x:c>
      <x:c r="E73" s="25" t="str">
        <x:v>常见投保金额为 CIF 价的 110%；不足额投保适用比例分摊，超额投保不增加赔付，费率取决于货物、路线和损失记录。</x:v>
      </x:c>
      <x:c r="F73" s="25" t="str">
        <x:v>Common valuation is CIF × 110%. Under-insurance triggers average; over-insurance does not increase recovery. Premium follows cargo class, route, and loss record.</x:v>
      </x:c>
      <x:c r="G73" s="25" t="str">
        <x:v>S8</x:v>
      </x:c>
      <x:c r="H73" s="25" t="str">
        <x:v>能够解释该知识并在训练中识别其适用边界</x:v>
      </x:c>
      <x:c r="I73" s="25" t="str">
        <x:v>关卡支持库与每轮智能推荐</x:v>
      </x:c>
      <x:c r="J73" s="26" t="str">
        <x:v>保额保费计算</x:v>
      </x:c>
    </x:row>
    <x:row r="74">
      <x:c r="A74" s="24" t="str">
        <x:v>K093</x:v>
      </x:c>
      <x:c r="B74" s="25" t="str">
        <x:v>业务流程</x:v>
      </x:c>
      <x:c r="C74" s="25" t="str">
        <x:v>投保与保险索赔程序</x:v>
      </x:c>
      <x:c r="D74" s="25" t="str">
        <x:v>Insurance application and claim procedures</x:v>
      </x:c>
      <x:c r="E74" s="25" t="str">
        <x:v>应在风险开始前投保；出险后及时通知、检验、减损并收集提单、发票、保单和照片，在保单期限内索赔。</x:v>
      </x:c>
      <x:c r="F74" s="25" t="str">
        <x:v>Apply before risk attaches. On loss: notice, survey, mitigate, collect B/L, invoice, policy, and photos, then file within policy time. Late notice is a classic denial.</x:v>
      </x:c>
      <x:c r="G74" s="25" t="str">
        <x:v>S8</x:v>
      </x:c>
      <x:c r="H74" s="25" t="str">
        <x:v>能够解释该知识并在训练中识别其适用边界</x:v>
      </x:c>
      <x:c r="I74" s="25" t="str">
        <x:v>关卡支持库与每轮智能推荐</x:v>
      </x:c>
      <x:c r="J74" s="26" t="str">
        <x:v>投保索赔程序</x:v>
      </x:c>
    </x:row>
    <x:row r="75">
      <x:c r="A75" s="24" t="str">
        <x:v>K094</x:v>
      </x:c>
      <x:c r="B75" s="25" t="str">
        <x:v>法律规则</x:v>
      </x:c>
      <x:c r="C75" s="25" t="str">
        <x:v>免赔额与国际保险条款</x:v>
      </x:c>
      <x:c r="D75" s="25" t="str">
        <x:v>Deductible clauses and international insurance clauses</x:v>
      </x:c>
      <x:c r="E75" s="25" t="str">
        <x:v>免赔额、除外责任和协会或中国保险条款共同界定实际承保范围，承诺“足额保险”前必须核对免赔安排。</x:v>
      </x:c>
      <x:c r="F75" s="25" t="str">
        <x:v>Deductibles, exclusions, and Institute/CIC clauses define what is actually covered. Read the deductible before promising the buyer 'fully insured'.</x:v>
      </x:c>
      <x:c r="G75" s="25" t="str">
        <x:v>S8</x:v>
      </x:c>
      <x:c r="H75" s="25" t="str">
        <x:v>能够解释该知识并在训练中识别其适用边界</x:v>
      </x:c>
      <x:c r="I75" s="25" t="str">
        <x:v>关卡支持库与每轮智能推荐</x:v>
      </x:c>
      <x:c r="J75" s="26" t="str">
        <x:v>免赔额保险条款</x:v>
      </x:c>
    </x:row>
    <x:row r="76">
      <x:c r="A76" s="24" t="str">
        <x:v>K095</x:v>
      </x:c>
      <x:c r="B76" s="25" t="str">
        <x:v>概念</x:v>
      </x:c>
      <x:c r="C76" s="25" t="str">
        <x:v>仲裁的定义与优势</x:v>
      </x:c>
      <x:c r="D76" s="25" t="str">
        <x:v>Definition and advantages of arbitration</x:v>
      </x:c>
      <x:c r="E76" s="25" t="str">
        <x:v>仲裁具有私人性和通常的保密性，裁决可依《纽约公约》执行，往往比跨国诉讼更中立和高效。</x:v>
      </x:c>
      <x:c r="F76" s="25" t="str">
        <x:v>Arbitration is private, typically confidential, and yields an award enforceable under the New York Convention — usually faster and more neutral than foreign courts.</x:v>
      </x:c>
      <x:c r="G76" s="25" t="str">
        <x:v>S8</x:v>
      </x:c>
      <x:c r="H76" s="25" t="str">
        <x:v>能够解释该知识并在训练中识别其适用边界</x:v>
      </x:c>
      <x:c r="I76" s="25" t="str">
        <x:v>关卡支持库与每轮智能推荐</x:v>
      </x:c>
      <x:c r="J76" s="26" t="str">
        <x:v>仲裁定义优势</x:v>
      </x:c>
    </x:row>
    <x:row r="77">
      <x:c r="A77" s="24" t="str">
        <x:v>K097</x:v>
      </x:c>
      <x:c r="B77" s="25" t="str">
        <x:v>法律规则</x:v>
      </x:c>
      <x:c r="C77" s="25" t="str">
        <x:v>仲裁条款起草</x:v>
      </x:c>
      <x:c r="D77" s="25" t="str">
        <x:v>Drafting arbitration clauses</x:v>
      </x:c>
      <x:c r="E77" s="25" t="str">
        <x:v>有效条款应写明机构、规则、仲裁地、语言、仲裁员人数和准据法；双机构或无仲裁地等病理条款会制造新的争议。</x:v>
      </x:c>
      <x:c r="F77" s="25" t="str">
        <x:v>A working clause names institution, rules, seat, language, number of arbitrators, and governing law. Pathological clauses (two institutions, no seat) create a second dispute.</x:v>
      </x:c>
      <x:c r="G77" s="25" t="str">
        <x:v>S8</x:v>
      </x:c>
      <x:c r="H77" s="25" t="str">
        <x:v>能够解释该知识并在训练中识别其适用边界</x:v>
      </x:c>
      <x:c r="I77" s="25" t="str">
        <x:v>关卡支持库与每轮智能推荐</x:v>
      </x:c>
      <x:c r="J77" s="26" t="str">
        <x:v>仲裁条款起草</x:v>
      </x:c>
    </x:row>
    <x:row r="78">
      <x:c r="A78" s="24" t="str">
        <x:v>K098</x:v>
      </x:c>
      <x:c r="B78" s="25" t="str">
        <x:v>业务流程</x:v>
      </x:c>
      <x:c r="C78" s="25" t="str">
        <x:v>仲裁程序、费用与裁决执行</x:v>
      </x:c>
      <x:c r="D78" s="25" t="str">
        <x:v>Arbitration procedures, costs, and award enforcement</x:v>
      </x:c>
      <x:c r="E78" s="25" t="str">
        <x:v>掌握立案、组庭、审理及《纽约公约》执行路径，并在启动前比较争议金额与时间、费用成本。</x:v>
      </x:c>
      <x:c r="F78" s="25" t="str">
        <x:v>Know filing, constitution, terms of reference, hearings, and the New York Convention enforcement path. Compare cost and time to the amount in dispute before filing.</x:v>
      </x:c>
      <x:c r="G78" s="25" t="str">
        <x:v>S8</x:v>
      </x:c>
      <x:c r="H78" s="25" t="str">
        <x:v>能够解释该知识并在训练中识别其适用边界</x:v>
      </x:c>
      <x:c r="I78" s="25" t="str">
        <x:v>关卡支持库与每轮智能推荐</x:v>
      </x:c>
      <x:c r="J78" s="26" t="str">
        <x:v>仲裁程序执行</x:v>
      </x:c>
    </x:row>
    <x:row r="79">
      <x:c r="A79" s="24" t="str">
        <x:v>K099</x:v>
      </x:c>
      <x:c r="B79" s="25" t="str">
        <x:v>法律规则</x:v>
      </x:c>
      <x:c r="C79" s="25" t="str">
        <x:v>准据法与管辖权</x:v>
      </x:c>
      <x:c r="D79" s="25" t="str">
        <x:v>Applicable law and jurisdiction</x:v>
      </x:c>
      <x:c r="E79" s="25" t="str">
        <x:v>买卖合同准据法、仲裁协议准据法和仲裁地法是三个不同问题，留空容易引发择地诉讼。</x:v>
      </x:c>
      <x:c r="F79" s="25" t="str">
        <x:v>Governing law of the sale, law of the arbitration agreement, and law of the seat are three different questions. Leaving them blank invites forum shopping.</x:v>
      </x:c>
      <x:c r="G79" s="25" t="str">
        <x:v>S8</x:v>
      </x:c>
      <x:c r="H79" s="25" t="str">
        <x:v>能够解释该知识并在训练中识别其适用边界</x:v>
      </x:c>
      <x:c r="I79" s="25" t="str">
        <x:v>关卡支持库与每轮智能推荐</x:v>
      </x:c>
      <x:c r="J79" s="26" t="str">
        <x:v>准据法管辖</x:v>
      </x:c>
    </x:row>
    <x:row r="80">
      <x:c r="A80" s="24" t="str">
        <x:v>K100</x:v>
      </x:c>
      <x:c r="B80" s="25" t="str">
        <x:v>跨文化</x:v>
      </x:c>
      <x:c r="C80" s="25" t="str">
        <x:v>保险与仲裁的跨文化差异</x:v>
      </x:c>
      <x:c r="D80" s="25" t="str">
        <x:v>Cross-cultural differences in insurance and arbitration</x:v>
      </x:c>
      <x:c r="E80" s="25" t="str">
        <x:v>有些文化倾向调解和关系修复，有些直接进入仲裁；应把争议条款解释为公平机制，而非不信任信号。</x:v>
      </x:c>
      <x:c r="F80" s="25" t="str">
        <x:v>Some cultures prefer mediation and relationship repair; others go straight to a tribunal. Explain the clause as a fairness device, not as a lack of trust.</x:v>
      </x:c>
      <x:c r="G80" s="25" t="str">
        <x:v>S8</x:v>
      </x:c>
      <x:c r="H80" s="25" t="str">
        <x:v>能够解释该知识并在训练中识别其适用边界</x:v>
      </x:c>
      <x:c r="I80" s="25" t="str">
        <x:v>关卡支持库与每轮智能推荐</x:v>
      </x:c>
      <x:c r="J80" s="26" t="str">
        <x:v>保险仲裁跨文化</x:v>
      </x:c>
    </x:row>
    <x:row r="81">
      <x:c r="A81" s="24" t="str">
        <x:v>K101</x:v>
      </x:c>
      <x:c r="B81" s="25" t="str">
        <x:v>概念</x:v>
      </x:c>
      <x:c r="C81" s="25" t="str">
        <x:v>投诉的定义与分类</x:v>
      </x:c>
      <x:c r="D81" s="25" t="str">
        <x:v>Definition and classification of complaints</x:v>
      </x:c>
      <x:c r="E81" s="25" t="str">
        <x:v>投诉是可能但不必然发展为法律索赔的不满表达，应按质量、数量、迟延、包装、单证或服务分类处理。</x:v>
      </x:c>
      <x:c r="F81" s="25" t="str">
        <x:v>A complaint is an expression of dissatisfaction that may or may not become a legal claim. Classify by quality, quantity, delay, packing, docs, or service to choose the path.</x:v>
      </x:c>
      <x:c r="G81" s="25" t="str">
        <x:v>S9</x:v>
      </x:c>
      <x:c r="H81" s="25" t="str">
        <x:v>能够解释该知识并在训练中识别其适用边界</x:v>
      </x:c>
      <x:c r="I81" s="25" t="str">
        <x:v>关卡支持库与每轮智能推荐</x:v>
      </x:c>
      <x:c r="J81" s="26" t="str">
        <x:v>投诉定义分类</x:v>
      </x:c>
    </x:row>
    <x:row r="82">
      <x:c r="A82" s="24" t="str">
        <x:v>K102</x:v>
      </x:c>
      <x:c r="B82" s="25" t="str">
        <x:v>业务流程</x:v>
      </x:c>
      <x:c r="C82" s="25" t="str">
        <x:v>投诉处理原则与流程</x:v>
      </x:c>
      <x:c r="D82" s="25" t="str">
        <x:v>Principles and processes of complaint handling</x:v>
      </x:c>
      <x:c r="E82" s="25" t="str">
        <x:v>先确认收悉、固定事实、指定负责人、调查并提供选项，最后书面结案；只求速度而无事实基础容易形成不当承认。</x:v>
      </x:c>
      <x:c r="F82" s="25" t="str">
        <x:v>Acknowledge, freeze the facts, assign an owner, investigate, respond with options, and close with a written outcome. Speed without facts creates admissions.</x:v>
      </x:c>
      <x:c r="G82" s="25" t="str">
        <x:v>S9</x:v>
      </x:c>
      <x:c r="H82" s="25" t="str">
        <x:v>能够解释该知识并在训练中识别其适用边界</x:v>
      </x:c>
      <x:c r="I82" s="25" t="str">
        <x:v>关卡支持库与每轮智能推荐</x:v>
      </x:c>
      <x:c r="J82" s="26" t="str">
        <x:v>投诉处理流程</x:v>
      </x:c>
    </x:row>
    <x:row r="83">
      <x:c r="A83" s="24" t="str">
        <x:v>K105</x:v>
      </x:c>
      <x:c r="B83" s="25" t="str">
        <x:v>业务流程</x:v>
      </x:c>
      <x:c r="C83" s="25" t="str">
        <x:v>投诉预防、记录与反馈机制</x:v>
      </x:c>
      <x:c r="D83" s="25" t="str">
        <x:v>Complaint prevention, records, and feedback mechanisms</x:v>
      </x:c>
      <x:c r="E83" s="25" t="str">
        <x:v>记录每次投诉、标注根因并反馈生产、包装和销售；只有形成质量闭环，才能避免同类投诉重复发生。</x:v>
      </x:c>
      <x:c r="F83" s="25" t="str">
        <x:v>Log every complaint, tag root cause, and feed production, packing, and sales. Unlogged complaints repeat; logged ones become a quality system.</x:v>
      </x:c>
      <x:c r="G83" s="25" t="str">
        <x:v>S9</x:v>
      </x:c>
      <x:c r="H83" s="25" t="str">
        <x:v>能够解释该知识并在训练中识别其适用边界</x:v>
      </x:c>
      <x:c r="I83" s="25" t="str">
        <x:v>关卡支持库与每轮智能推荐</x:v>
      </x:c>
      <x:c r="J83" s="26" t="str">
        <x:v>投诉记录闭环</x:v>
      </x:c>
    </x:row>
    <x:row r="84">
      <x:c r="A84" s="24" t="str">
        <x:v>K106</x:v>
      </x:c>
      <x:c r="B84" s="25" t="str">
        <x:v>跨文化</x:v>
      </x:c>
      <x:c r="C84" s="25" t="str">
        <x:v>投诉处理的跨文化差异</x:v>
      </x:c>
      <x:c r="D84" s="25" t="str">
        <x:v>Cross-cultural differences in complaint handling</x:v>
      </x:c>
      <x:c r="E84" s="25" t="str">
        <x:v>直接承认在某些文化中是必要礼仪，在另一些文化中可能被视为全面认责；沟通脚本与法律立场应分别管理。</x:v>
      </x:c>
      <x:c r="F84" s="25" t="str">
        <x:v>Direct admission may be expected in one culture and treated as a confession of full liability in another. Match the script; keep the legal position in writing.</x:v>
      </x:c>
      <x:c r="G84" s="25" t="str">
        <x:v>S9</x:v>
      </x:c>
      <x:c r="H84" s="25" t="str">
        <x:v>能够解释该知识并在训练中识别其适用边界</x:v>
      </x:c>
      <x:c r="I84" s="25" t="str">
        <x:v>关卡支持库与每轮智能推荐</x:v>
      </x:c>
      <x:c r="J84" s="26" t="str">
        <x:v>投诉跨文化差异</x:v>
      </x:c>
    </x:row>
    <x:row r="85">
      <x:c r="A85" s="24" t="str">
        <x:v>K107</x:v>
      </x:c>
      <x:c r="B85" s="25" t="str">
        <x:v>业务流程</x:v>
      </x:c>
      <x:c r="C85" s="25" t="str">
        <x:v>客户满意度评估</x:v>
      </x:c>
      <x:c r="D85" s="25" t="str">
        <x:v>Customer satisfaction assessment</x:v>
      </x:c>
      <x:c r="E85" s="25" t="str">
        <x:v>结案后评估买方是否愿意再次下单；满意度是商业指标，不能替代完整的法律与证据档案。</x:v>
      </x:c>
      <x:c r="F85" s="25" t="str">
        <x:v>After closing, measure whether the buyer will reorder. Satisfaction is a commercial KPI, not a substitute for the legal file.</x:v>
      </x:c>
      <x:c r="G85" s="25" t="str">
        <x:v>S9</x:v>
      </x:c>
      <x:c r="H85" s="25" t="str">
        <x:v>能够解释该知识并在训练中识别其适用边界</x:v>
      </x:c>
      <x:c r="I85" s="25" t="str">
        <x:v>关卡支持库与每轮智能推荐</x:v>
      </x:c>
      <x:c r="J85" s="26" t="str">
        <x:v>客户满意评估</x:v>
      </x:c>
    </x:row>
    <x:row r="86">
      <x:c r="A86" s="24" t="str">
        <x:v>K108</x:v>
      </x:c>
      <x:c r="B86" s="25" t="str">
        <x:v>风险控制</x:v>
      </x:c>
      <x:c r="C86" s="25" t="str">
        <x:v>投诉法律风险与声誉管理</x:v>
      </x:c>
      <x:c r="D86" s="25" t="str">
        <x:v>Complaints, legal risks, and reputation management</x:v>
      </x:c>
      <x:c r="E86" s="25" t="str">
        <x:v>公开或草率回复可能构成不当承认、诽谤或社交媒体危机，应区分客户服务渠道和正式法律通知渠道。</x:v>
      </x:c>
      <x:c r="F86" s="25" t="str">
        <x:v>Public or careless replies create admissions, defamation, or social-media damage. Separate the customer-care channel from the legal-notice channel.</x:v>
      </x:c>
      <x:c r="G86" s="25" t="str">
        <x:v>S9</x:v>
      </x:c>
      <x:c r="H86" s="25" t="str">
        <x:v>能够解释该知识并在训练中识别其适用边界</x:v>
      </x:c>
      <x:c r="I86" s="25" t="str">
        <x:v>关卡支持库与每轮智能推荐</x:v>
      </x:c>
      <x:c r="J86" s="26" t="str">
        <x:v>投诉声誉风控</x:v>
      </x:c>
    </x:row>
    <x:row r="87">
      <x:c r="A87" s="24" t="str">
        <x:v>K109</x:v>
      </x:c>
      <x:c r="B87" s="25" t="str">
        <x:v>业务流程</x:v>
      </x:c>
      <x:c r="C87" s="25" t="str">
        <x:v>根因分析与争议调解</x:v>
      </x:c>
      <x:c r="D87" s="25" t="str">
        <x:v>Root cause analysis and dispute mediation</x:v>
      </x:c>
      <x:c r="E87" s="25" t="str">
        <x:v>运用“五问法”或鱼骨图分析重复缺陷，并在立场固化前提出调解，以保存仲裁难以维持的商业关系。</x:v>
      </x:c>
      <x:c r="F87" s="25" t="str">
        <x:v>Use 5-Why / fishbone on repeating defects, and offer mediation before positions harden. Mediation preserves the relationship that arbitration will not.</x:v>
      </x:c>
      <x:c r="G87" s="25" t="str">
        <x:v>S9</x:v>
      </x:c>
      <x:c r="H87" s="25" t="str">
        <x:v>能够解释该知识并在训练中识别其适用边界</x:v>
      </x:c>
      <x:c r="I87" s="25" t="str">
        <x:v>关卡支持库与每轮智能推荐</x:v>
      </x:c>
      <x:c r="J87" s="26" t="str">
        <x:v>根因分析调解</x:v>
      </x:c>
    </x:row>
    <x:row r="88">
      <x:c r="A88" s="24" t="str">
        <x:v>K110</x:v>
      </x:c>
      <x:c r="B88" s="25" t="str">
        <x:v>概念</x:v>
      </x:c>
      <x:c r="C88" s="25" t="str">
        <x:v>索赔的定义</x:v>
      </x:c>
      <x:c r="D88" s="25" t="str">
        <x:v>Definition of claims</x:v>
      </x:c>
      <x:c r="E88" s="25" t="str">
        <x:v>索赔是依据法律基础和证据，正式请求修理、更换、减价或损害赔偿等合同或合同外救济。</x:v>
      </x:c>
      <x:c r="F88" s="25" t="str">
        <x:v>A claim is a formal demand for a contractual or extra-contractual remedy (repair, replacement, price reduction, damages) supported by a legal basis and evidence.</x:v>
      </x:c>
      <x:c r="G88" s="25" t="str">
        <x:v>S9</x:v>
      </x:c>
      <x:c r="H88" s="25" t="str">
        <x:v>能够解释该知识并在训练中识别其适用边界</x:v>
      </x:c>
      <x:c r="I88" s="25" t="str">
        <x:v>关卡支持库与每轮智能推荐</x:v>
      </x:c>
      <x:c r="J88" s="26" t="str">
        <x:v>索赔定义</x:v>
      </x:c>
    </x:row>
    <x:row r="89">
      <x:c r="A89" s="24" t="str">
        <x:v>K111</x:v>
      </x:c>
      <x:c r="B89" s="25" t="str">
        <x:v>业务流程</x:v>
      </x:c>
      <x:c r="C89" s="25" t="str">
        <x:v>索赔程序</x:v>
      </x:c>
      <x:c r="D89" s="25" t="str">
        <x:v>Claim procedures</x:v>
      </x:c>
      <x:c r="E89" s="25" t="str">
        <x:v>在期限内通知、保全货物、联合检验、附证据量化请求，随后协商或起诉；漏发通知是代价最高的程序错误之一。</x:v>
      </x:c>
      <x:c r="F89" s="25" t="str">
        <x:v>Notice within time → preserve cargo → joint survey → quantified demand with documents → negotiate or file. Skipping notice is the most expensive procedural error.</x:v>
      </x:c>
      <x:c r="G89" s="25" t="str">
        <x:v>S9</x:v>
      </x:c>
      <x:c r="H89" s="25" t="str">
        <x:v>能够解释该知识并在训练中识别其适用边界</x:v>
      </x:c>
      <x:c r="I89" s="25" t="str">
        <x:v>关卡支持库与每轮智能推荐</x:v>
      </x:c>
      <x:c r="J89" s="26" t="str">
        <x:v>索赔程序</x:v>
      </x:c>
    </x:row>
    <x:row r="90">
      <x:c r="A90" s="24" t="str">
        <x:v>K112</x:v>
      </x:c>
      <x:c r="B90" s="25" t="str">
        <x:v>业务流程</x:v>
      </x:c>
      <x:c r="C90" s="25" t="str">
        <x:v>证据收集与证据链完整性</x:v>
      </x:c>
      <x:c r="D90" s="25" t="str">
        <x:v>Evidence gathering and evidence-chain integrity</x:v>
      </x:c>
      <x:c r="E90" s="25" t="str">
        <x:v>封志、照片、检验报告、温度记录和函电应保持未经篡改且相互关联，断裂的证据链可能被视为没有证据。</x:v>
      </x:c>
      <x:c r="F90" s="25" t="str">
        <x:v>Keep seals, photos, survey reports, temperature logs, and correspondence in an unaltered chain. A broken chain is treated as no evidence.</x:v>
      </x:c>
      <x:c r="G90" s="25" t="str">
        <x:v>S9</x:v>
      </x:c>
      <x:c r="H90" s="25" t="str">
        <x:v>能够解释该知识并在训练中识别其适用边界</x:v>
      </x:c>
      <x:c r="I90" s="25" t="str">
        <x:v>关卡支持库与每轮智能推荐</x:v>
      </x:c>
      <x:c r="J90" s="26" t="str">
        <x:v>证据链完整性</x:v>
      </x:c>
    </x:row>
    <x:row r="91">
      <x:c r="A91" s="24" t="str">
        <x:v>K113</x:v>
      </x:c>
      <x:c r="B91" s="25" t="str">
        <x:v>法律规则</x:v>
      </x:c>
      <x:c r="C91" s="25" t="str">
        <x:v>索赔与诉讼时效</x:v>
      </x:c>
      <x:c r="D91" s="25" t="str">
        <x:v>Statutes of limitation for claims and litigation</x:v>
      </x:c>
      <x:c r="E91" s="25" t="str">
        <x:v>合同通知期通常短于 CISG、海牙—维斯比规则或当地法的诉讼时效，两类期限都应单独登记，遗漏任一都可能丧失权利。</x:v>
      </x:c>
      <x:c r="F91" s="25" t="str">
        <x:v>Contractual notice periods (often 30 days after arrival) sit inside longer limitation periods (CISG, Hague-Visby, local law). Diary both; missing either kills the claim.</x:v>
      </x:c>
      <x:c r="G91" s="25" t="str">
        <x:v>S9</x:v>
      </x:c>
      <x:c r="H91" s="25" t="str">
        <x:v>能够解释该知识并在训练中识别其适用边界</x:v>
      </x:c>
      <x:c r="I91" s="25" t="str">
        <x:v>关卡支持库与每轮智能推荐</x:v>
      </x:c>
      <x:c r="J91" s="26" t="str">
        <x:v>索赔诉讼时效</x:v>
      </x:c>
    </x:row>
    <x:row r="92">
      <x:c r="A92" s="24" t="str">
        <x:v>K114</x:v>
      </x:c>
      <x:c r="B92" s="25" t="str">
        <x:v>法律规则</x:v>
      </x:c>
      <x:c r="C92" s="25" t="str">
        <x:v>不可抗力条款与案例</x:v>
      </x:c>
      <x:c r="D92" s="25" t="str">
        <x:v>Force majeure clauses and case studies</x:v>
      </x:c>
      <x:c r="E92" s="25" t="str">
        <x:v>不可抗力针对不可预见、不可避免且超出控制并阻碍履约的事件，不等同于经营困难或不利交易，仍负有通知和减损义务。</x:v>
      </x:c>
      <x:c r="F92" s="25" t="str">
        <x:v>FM covers unforeseeable, unavoidable events beyond control that prevent performance — not hardship, not a bad bargain. Notice and mitigation duties still apply.</x:v>
      </x:c>
      <x:c r="G92" s="25" t="str">
        <x:v>S9</x:v>
      </x:c>
      <x:c r="H92" s="25" t="str">
        <x:v>能够解释该知识并在训练中识别其适用边界</x:v>
      </x:c>
      <x:c r="I92" s="25" t="str">
        <x:v>关卡支持库与每轮智能推荐</x:v>
      </x:c>
      <x:c r="J92" s="26" t="str">
        <x:v>不可抗力规则</x:v>
      </x:c>
    </x:row>
    <x:row r="93">
      <x:c r="A93" s="24" t="str">
        <x:v>K115</x:v>
      </x:c>
      <x:c r="B93" s="25" t="str">
        <x:v>业务流程</x:v>
      </x:c>
      <x:c r="C93" s="25" t="str">
        <x:v>赔偿金额计算</x:v>
      </x:c>
      <x:c r="D93" s="25" t="str">
        <x:v>Calculation of compensation amounts</x:v>
      </x:c>
      <x:c r="E93" s="25" t="str">
        <x:v>依 CISG 第74条，赔偿包括可预见且已减损的实际损失和利润损失，应以发票、替代交易和可复核计算表证明。</x:v>
      </x:c>
      <x:c r="F93" s="25" t="str">
        <x:v>CISG Art. 74: loss suffered plus lost profit, foreseeable, mitigated. Support with invoices, cover purchases, and a calculation sheet the counterpart can audit.</x:v>
      </x:c>
      <x:c r="G93" s="25" t="str">
        <x:v>S9</x:v>
      </x:c>
      <x:c r="H93" s="25" t="str">
        <x:v>能够解释该知识并在训练中识别其适用边界</x:v>
      </x:c>
      <x:c r="I93" s="25" t="str">
        <x:v>关卡支持库与每轮智能推荐</x:v>
      </x:c>
      <x:c r="J93" s="26" t="str">
        <x:v>赔偿金额计算</x:v>
      </x:c>
    </x:row>
    <x:row r="94">
      <x:c r="A94" s="24" t="str">
        <x:v>K116</x:v>
      </x:c>
      <x:c r="B94" s="25" t="str">
        <x:v>跨文化</x:v>
      </x:c>
      <x:c r="C94" s="25" t="str">
        <x:v>索赔与和解的跨文化差异</x:v>
      </x:c>
      <x:c r="D94" s="25" t="str">
        <x:v>Cross-cultural differences in claims and settlements</x:v>
      </x:c>
      <x:c r="E94" s="25" t="str">
        <x:v>有些对方期待关系折扣，有些期待律师函；开场语气应适配文化，随后回到数字和单证。</x:v>
      </x:c>
      <x:c r="F94" s="25" t="str">
        <x:v>Some counterparts expect a relationship discount; others expect a lawyer’s letter. Choose the opening tone to the culture, then move to numbers and documents.</x:v>
      </x:c>
      <x:c r="G94" s="25" t="str">
        <x:v>S9</x:v>
      </x:c>
      <x:c r="H94" s="25" t="str">
        <x:v>能够解释该知识并在训练中识别其适用边界</x:v>
      </x:c>
      <x:c r="I94" s="25" t="str">
        <x:v>关卡支持库与每轮智能推荐</x:v>
      </x:c>
      <x:c r="J94" s="26" t="str">
        <x:v>索赔和解跨文化</x:v>
      </x:c>
    </x:row>
    <x:row r="95">
      <x:c r="A95" s="27" t="str">
        <x:v>K117</x:v>
      </x:c>
      <x:c r="B95" s="28" t="str">
        <x:v>法律规则</x:v>
      </x:c>
      <x:c r="C95" s="28" t="str">
        <x:v>承运人责任与事故处理</x:v>
      </x:c>
      <x:c r="D95" s="28" t="str">
        <x:v>Carrier liability and accident handling</x:v>
      </x:c>
      <x:c r="E95" s="28" t="str">
        <x:v>依贸易术语和提单识别损失应由卖方、买方、承运人或保险人承担，并及时通知承运人，避免向错误主体索赔而超时。</x:v>
      </x:c>
      <x:c r="F95" s="28" t="str">
        <x:v>Identify whether the loss sits with seller, buyer, carrier, or insurer under the Incoterm and the B/L. Notify the carrier in time; do not let the wrong defendant run out the clock.</x:v>
      </x:c>
      <x:c r="G95" s="28" t="str">
        <x:v>S9</x:v>
      </x:c>
      <x:c r="H95" s="28" t="str">
        <x:v>能够解释该知识并在训练中识别其适用边界</x:v>
      </x:c>
      <x:c r="I95" s="28" t="str">
        <x:v>关卡支持库与每轮智能推荐</x:v>
      </x:c>
      <x:c r="J95" s="29" t="str">
        <x:v>承运人责任</x:v>
      </x:c>
    </x:row>
  </x:sheetData>
  <x:pageMargins left="0.7" right="0.7" top="0.75" bottom="0.75" header="0.3" footer="0.3"/>
  <x:tableParts count="1">
    <x:tablePart xmlns:r="http://schemas.openxmlformats.org/officeDocument/2006/relationships" r:id="R90231fbb99f943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6" hidden="0" customWidth="1"/>
    <x:col min="4" max="4" width="52" hidden="0" customWidth="1"/>
    <x:col min="5" max="5" width="58" hidden="0" customWidth="1"/>
    <x:col min="6" max="6" width="12" hidden="0" customWidth="1"/>
    <x:col min="7" max="7" width="48" hidden="0" customWidth="1"/>
    <x:col min="8" max="8" width="50" hidden="0" customWidth="1"/>
    <x:col min="9" max="9" width="30" hidden="0" customWidth="1"/>
    <x:col min="10" max="10" width="42" hidden="0" customWidth="1"/>
    <x:col min="11" max="11" width="42" hidden="0" customWidth="1"/>
    <x:col min="12" max="12" width="42" hidden="0" customWidth="1"/>
    <x:col min="13" max="13" width="18" hidden="0" customWidth="1"/>
  </x:cols>
  <x:sheetData>
    <x:row r="1" ht="30" customHeight="1">
      <x:c r="A1" s="21" t="str">
        <x:v>StrategyID</x:v>
      </x:c>
      <x:c r="B1" s="22" t="str">
        <x:v>StrategyNameZH</x:v>
      </x:c>
      <x:c r="C1" s="22" t="str">
        <x:v>StrategyNameEN</x:v>
      </x:c>
      <x:c r="D1" s="22" t="str">
        <x:v>DefinitionZH</x:v>
      </x:c>
      <x:c r="E1" s="22" t="str">
        <x:v>DefinitionEN</x:v>
      </x:c>
      <x:c r="F1" s="22" t="str">
        <x:v>HomeStageID</x:v>
      </x:c>
      <x:c r="G1" s="22" t="str">
        <x:v>ApplicableConditions</x:v>
      </x:c>
      <x:c r="H1" s="22" t="str">
        <x:v>RecommendedActions</x:v>
      </x:c>
      <x:c r="I1" s="22" t="str">
        <x:v>RelatedPhenomenonIDs</x:v>
      </x:c>
      <x:c r="J1" s="22" t="str">
        <x:v>ExampleExpression</x:v>
      </x:c>
      <x:c r="K1" s="22" t="str">
        <x:v>DiscouragedActions</x:v>
      </x:c>
      <x:c r="L1" s="22" t="str">
        <x:v>ExpectedImpact</x:v>
      </x:c>
      <x:c r="M1" s="23" t="str">
        <x:v>ShortNameZH</x:v>
      </x:c>
    </x:row>
    <x:row r="2">
      <x:c r="A2" s="24" t="str">
        <x:v>K005</x:v>
      </x:c>
      <x:c r="B2" s="25" t="str">
        <x:v>宽泛询盘策略</x:v>
      </x:c>
      <x:c r="C2" s="25" t="str">
        <x:v>Broad inquiry strategy</x:v>
      </x:c>
      <x:c r="D2" s="25" t="str">
        <x:v>用低承诺、宽口径的询盘摸清供应商、价格带和交期，同时避免过早暴露采购量和保留价格。</x:v>
      </x:c>
      <x:c r="E2" s="25" t="str">
        <x:v>Use a wide, low-commitment inquiry to map suppliers, price bands, and lead times without revealing volume or reservation price.</x:v>
      </x:c>
      <x:c r="F2" s="25" t="str">
        <x:v>S1</x:v>
      </x:c>
      <x:c r="G2" s="25" t="str">
        <x:v>适用于：试探性询盘；多供应商询价泛滥；隐瞒数量只问价格</x:v>
      </x:c>
      <x:c r="H2" s="25" t="str">
        <x:v>用低承诺、宽口径的询盘摸清供应商、价格带和交期，同时避免过早暴露采购量和保留价格。</x:v>
      </x:c>
      <x:c r="I2" s="25" t="str">
        <x:v>P1.01, P1.03, P1.06</x:v>
      </x:c>
      <x:c r="J2" s="25" t="str">
        <x:v>根据具体局面使用有条件、可交换、可核验的商务表达。</x:v>
      </x:c>
      <x:c r="K2" s="25" t="str">
        <x:v>避免无理由让步、虚构事实或把策略当成固定话术。</x:v>
      </x:c>
      <x:c r="L2" s="25" t="str">
        <x:v>提高谈判行动的针对性、可执行性与风险可控性。</x:v>
      </x:c>
      <x:c r="M2" s="26" t="str">
        <x:v>宽泛询盘</x:v>
      </x:c>
    </x:row>
    <x:row r="3">
      <x:c r="A3" s="24" t="str">
        <x:v>K006</x:v>
      </x:c>
      <x:c r="B3" s="25" t="str">
        <x:v>精准询盘策略</x:v>
      </x:c>
      <x:c r="C3" s="25" t="str">
        <x:v>Precise inquiry strategy</x:v>
      </x:c>
      <x:c r="D3" s="25" t="str">
        <x:v>准备进行同口径比价和推进发盘时，应发送规格完整的具体询盘，以提高报价质量和回复速度。</x:v>
      </x:c>
      <x:c r="E3" s="25" t="str">
        <x:v>Use a complete, spec-rich inquiry when you are ready to compare like-for-like quotes and move toward an offer. Completeness raises quote quality and speed.</x:v>
      </x:c>
      <x:c r="F3" s="25" t="str">
        <x:v>S1</x:v>
      </x:c>
      <x:c r="G3" s="25" t="str">
        <x:v>适用于：询盘要素不完整；隐瞒数量只问价格</x:v>
      </x:c>
      <x:c r="H3" s="25" t="str">
        <x:v>准备进行同口径比价和推进发盘时，应发送规格完整的具体询盘，以提高报价质量和回复速度。</x:v>
      </x:c>
      <x:c r="I3" s="25" t="str">
        <x:v>P1.02, P1.06</x:v>
      </x:c>
      <x:c r="J3" s="25" t="str">
        <x:v>根据具体局面使用有条件、可交换、可核验的商务表达。</x:v>
      </x:c>
      <x:c r="K3" s="25" t="str">
        <x:v>避免无理由让步、虚构事实或把策略当成固定话术。</x:v>
      </x:c>
      <x:c r="L3" s="25" t="str">
        <x:v>提高谈判行动的针对性、可执行性与风险可控性。</x:v>
      </x:c>
      <x:c r="M3" s="26" t="str">
        <x:v>精准询盘</x:v>
      </x:c>
    </x:row>
    <x:row r="4">
      <x:c r="A4" s="24" t="str">
        <x:v>K012</x:v>
      </x:c>
      <x:c r="B4" s="25" t="str">
        <x:v>询盘阶段价格谈判</x:v>
      </x:c>
      <x:c r="C4" s="25" t="str">
        <x:v>Price negotiation during inquiries</x:v>
      </x:c>
      <x:c r="D4" s="25" t="str">
        <x:v>早期谈价应先探取价格区间而非锁死数字；披露采购量应换取更明确报价，避免自我抬价。</x:v>
      </x:c>
      <x:c r="E4" s="25" t="str">
        <x:v>Early price talk should extract a range, not lock a number. Disclose volume only in exchange for a firmer band; avoid bidding against yourself.</x:v>
      </x:c>
      <x:c r="F4" s="25" t="str">
        <x:v>S1</x:v>
      </x:c>
      <x:c r="G4" s="25" t="str">
        <x:v>适用于：多供应商询价泛滥；隐瞒数量只问价格；极端价格锚定</x:v>
      </x:c>
      <x:c r="H4" s="25" t="str">
        <x:v>早期谈价应先探取价格区间而非锁死数字；披露采购量应换取更明确报价，避免自我抬价。</x:v>
      </x:c>
      <x:c r="I4" s="25" t="str">
        <x:v>P1.03, P1.06, P2.04</x:v>
      </x:c>
      <x:c r="J4" s="25" t="str">
        <x:v>根据具体局面使用有条件、可交换、可核验的商务表达。</x:v>
      </x:c>
      <x:c r="K4" s="25" t="str">
        <x:v>避免无理由让步、虚构事实或把策略当成固定话术。</x:v>
      </x:c>
      <x:c r="L4" s="25" t="str">
        <x:v>提高谈判行动的针对性、可执行性与风险可控性。</x:v>
      </x:c>
      <x:c r="M4" s="26" t="str">
        <x:v>询盘议价</x:v>
      </x:c>
    </x:row>
    <x:row r="5">
      <x:c r="A5" s="24" t="str">
        <x:v>K018</x:v>
      </x:c>
      <x:c r="B5" s="25" t="str">
        <x:v>价格锚定策略</x:v>
      </x:c>
      <x:c r="C5" s="25" t="str">
        <x:v>Anchoring price strategy</x:v>
      </x:c>
      <x:c r="D5" s="25" t="str">
        <x:v>首个数字会框定谈判区间；锚点应有可信成本依据，缺乏理由的极端锚定容易被忽视或导致谈判终止。</x:v>
      </x:c>
      <x:c r="E5" s="25" t="str">
        <x:v>The first number frames the bargaining zone. Anchor high (or low) with a credible cost story; an extreme anchor without justification is discounted or ends talks.</x:v>
      </x:c>
      <x:c r="F5" s="25" t="str">
        <x:v>S2</x:v>
      </x:c>
      <x:c r="G5" s="25" t="str">
        <x:v>适用于：隐瞒数量只问价格；极端价格锚定</x:v>
      </x:c>
      <x:c r="H5" s="25" t="str">
        <x:v>首个数字会框定谈判区间；锚点应有可信成本依据，缺乏理由的极端锚定容易被忽视或导致谈判终止。</x:v>
      </x:c>
      <x:c r="I5" s="25" t="str">
        <x:v>P1.06, P2.04</x:v>
      </x:c>
      <x:c r="J5" s="25" t="str">
        <x:v>根据具体局面使用有条件、可交换、可核验的商务表达。</x:v>
      </x:c>
      <x:c r="K5" s="25" t="str">
        <x:v>避免无理由让步、虚构事实或把策略当成固定话术。</x:v>
      </x:c>
      <x:c r="L5" s="25" t="str">
        <x:v>提高谈判行动的针对性、可执行性与风险可控性。</x:v>
      </x:c>
      <x:c r="M5" s="26" t="str">
        <x:v>价格锚定</x:v>
      </x:c>
    </x:row>
    <x:row r="6">
      <x:c r="A6" s="24" t="str">
        <x:v>K025</x:v>
      </x:c>
      <x:c r="B6" s="25" t="str">
        <x:v>发盘谈判与心理策略</x:v>
      </x:c>
      <x:c r="C6" s="25" t="str">
        <x:v>Negotiation techniques and psychological strategies for offers</x:v>
      </x:c>
      <x:c r="D6" s="25" t="str">
        <x:v>结合锚定、组合报价和理由说明，识别对方 BATNA；面对极端首价，不应在没有新方案时简单折中。</x:v>
      </x:c>
      <x:c r="E6" s="25" t="str">
        <x:v>Combine anchoring, bundling, and justification. Read the counterpart’s BATNA; do not split the difference from an extreme first number without a new package.</x:v>
      </x:c>
      <x:c r="F6" s="25" t="str">
        <x:v>S2</x:v>
      </x:c>
      <x:c r="G6" s="25" t="str">
        <x:v>适用于：持续提供虚盘；极端价格锚定</x:v>
      </x:c>
      <x:c r="H6" s="25" t="str">
        <x:v>结合锚定、组合报价和理由说明，识别对方 BATNA；面对极端首价，不应在没有新方案时简单折中。</x:v>
      </x:c>
      <x:c r="I6" s="25" t="str">
        <x:v>P2.01, P2.04</x:v>
      </x:c>
      <x:c r="J6" s="25" t="str">
        <x:v>根据具体局面使用有条件、可交换、可核验的商务表达。</x:v>
      </x:c>
      <x:c r="K6" s="25" t="str">
        <x:v>避免无理由让步、虚构事实或把策略当成固定话术。</x:v>
      </x:c>
      <x:c r="L6" s="25" t="str">
        <x:v>提高谈判行动的针对性、可执行性与风险可控性。</x:v>
      </x:c>
      <x:c r="M6" s="26" t="str">
        <x:v>发盘心理策略</x:v>
      </x:c>
    </x:row>
    <x:row r="7">
      <x:c r="A7" s="24" t="str">
        <x:v>K029</x:v>
      </x:c>
      <x:c r="B7" s="25" t="str">
        <x:v>以退为进策略</x:v>
      </x:c>
      <x:c r="C7" s="25" t="str">
        <x:v>Retreat-to-advance strategy</x:v>
      </x:c>
      <x:c r="D7" s="25" t="str">
        <x:v>在低成本但可见的事项上让步，以换取价格、付款或交期等高价值事项，并明确“让步以交换为条件”。</x:v>
      </x:c>
      <x:c r="E7" s="25" t="str">
        <x:v>Concede a visible but low-cost point in order to take a higher-value point (price, payment, or lead time). The retreat must be framed as conditional on the advance.</x:v>
      </x:c>
      <x:c r="F7" s="25" t="str">
        <x:v>S3</x:v>
      </x:c>
      <x:c r="G7" s="25" t="str">
        <x:v>适用于：反复还盘陷入僵局；单方面持续让步；付款方式谈判僵局</x:v>
      </x:c>
      <x:c r="H7" s="25" t="str">
        <x:v>在低成本但可见的事项上让步，以换取价格、付款或交期等高价值事项，并明确“让步以交换为条件”。</x:v>
      </x:c>
      <x:c r="I7" s="25" t="str">
        <x:v>P3.01, P3.04, P6.01</x:v>
      </x:c>
      <x:c r="J7" s="25" t="str">
        <x:v>根据具体局面使用有条件、可交换、可核验的商务表达。</x:v>
      </x:c>
      <x:c r="K7" s="25" t="str">
        <x:v>避免无理由让步、虚构事实或把策略当成固定话术。</x:v>
      </x:c>
      <x:c r="L7" s="25" t="str">
        <x:v>提高谈判行动的针对性、可执行性与风险可控性。</x:v>
      </x:c>
      <x:c r="M7" s="26" t="str">
        <x:v>以退为进</x:v>
      </x:c>
    </x:row>
    <x:row r="8">
      <x:c r="A8" s="24" t="str">
        <x:v>K030</x:v>
      </x:c>
      <x:c r="B8" s="25" t="str">
        <x:v>互惠让步策略</x:v>
      </x:c>
      <x:c r="C8" s="25" t="str">
        <x:v>Reciprocal concession strategy</x:v>
      </x:c>
      <x:c r="D8" s="25" t="str">
        <x:v>每次让步都应配套提出价值相当的交换要求，使对方理解双方移动必须是双向的。</x:v>
      </x:c>
      <x:c r="E8" s="25" t="str">
        <x:v>Never concede in a vacuum. Pair every move with a request of comparable weight so the counterpart learns that movement is two-way.</x:v>
      </x:c>
      <x:c r="F8" s="25" t="str">
        <x:v>S3</x:v>
      </x:c>
      <x:c r="G8" s="25" t="str">
        <x:v>适用于：反复还盘陷入僵局；单方面持续让步；赔偿金额谈判僵局</x:v>
      </x:c>
      <x:c r="H8" s="25" t="str">
        <x:v>每次让步都应配套提出价值相当的交换要求，使对方理解双方移动必须是双向的。</x:v>
      </x:c>
      <x:c r="I8" s="25" t="str">
        <x:v>P3.01, P3.04, P9.06</x:v>
      </x:c>
      <x:c r="J8" s="25" t="str">
        <x:v>根据具体局面使用有条件、可交换、可核验的商务表达。</x:v>
      </x:c>
      <x:c r="K8" s="25" t="str">
        <x:v>避免无理由让步、虚构事实或把策略当成固定话术。</x:v>
      </x:c>
      <x:c r="L8" s="25" t="str">
        <x:v>提高谈判行动的针对性、可执行性与风险可控性。</x:v>
      </x:c>
      <x:c r="M8" s="26" t="str">
        <x:v>互惠让步</x:v>
      </x:c>
    </x:row>
    <x:row r="9">
      <x:c r="A9" s="24" t="str">
        <x:v>K031</x:v>
      </x:c>
      <x:c r="B9" s="25" t="str">
        <x:v>四阶段让步策略</x:v>
      </x:c>
      <x:c r="C9" s="25" t="str">
        <x:v>Four-stage concession strategy</x:v>
      </x:c>
      <x:c r="D9" s="25" t="str">
        <x:v>典型节奏为坚持、少量让步、更小让步、最后微小让步；递减幅度用于传递真实底线。</x:v>
      </x:c>
      <x:c r="E9" s="25" t="str">
        <x:v>A classic pattern: (1) hold, (2) small move, (3) smaller move, (4) final small move that signals the floor. Decreasing steps communicate a real reservation price.</x:v>
      </x:c>
      <x:c r="F9" s="25" t="str">
        <x:v>S3</x:v>
      </x:c>
      <x:c r="G9" s="25" t="str">
        <x:v>适用于：反复还盘陷入僵局；单方面持续让步</x:v>
      </x:c>
      <x:c r="H9" s="25" t="str">
        <x:v>典型节奏为坚持、少量让步、更小让步、最后微小让步；递减幅度用于传递真实底线。</x:v>
      </x:c>
      <x:c r="I9" s="25" t="str">
        <x:v>P3.01, P3.04</x:v>
      </x:c>
      <x:c r="J9" s="25" t="str">
        <x:v>根据具体局面使用有条件、可交换、可核验的商务表达。</x:v>
      </x:c>
      <x:c r="K9" s="25" t="str">
        <x:v>避免无理由让步、虚构事实或把策略当成固定话术。</x:v>
      </x:c>
      <x:c r="L9" s="25" t="str">
        <x:v>提高谈判行动的针对性、可执行性与风险可控性。</x:v>
      </x:c>
      <x:c r="M9" s="26" t="str">
        <x:v>四阶段让步</x:v>
      </x:c>
    </x:row>
    <x:row r="10">
      <x:c r="A10" s="24" t="str">
        <x:v>K035</x:v>
      </x:c>
      <x:c r="B10" s="25" t="str">
        <x:v>还盘机会评估</x:v>
      </x:c>
      <x:c r="C10" s="25" t="str">
        <x:v>Assessing opportunities for counter-offers</x:v>
      </x:c>
      <x:c r="D10" s="25" t="str">
        <x:v>价差可弥合、时间充足且己方 BATNA 可接受时适合还盘；对方底线已清晰时应考虑接受或退出。</x:v>
      </x:c>
      <x:c r="E10" s="25" t="str">
        <x:v>Counter-offer when the gap is bridgeable, time remains, and your BATNA is acceptable. Walk or accept when the counterpart’s reservation is already visible.</x:v>
      </x:c>
      <x:c r="F10" s="25" t="str">
        <x:v>S3</x:v>
      </x:c>
      <x:c r="G10" s="25" t="str">
        <x:v>适用于：反复还盘陷入僵局；还盘时机或措辞不当</x:v>
      </x:c>
      <x:c r="H10" s="25" t="str">
        <x:v>价差可弥合、时间充足且己方 BATNA 可接受时适合还盘；对方底线已清晰时应考虑接受或退出。</x:v>
      </x:c>
      <x:c r="I10" s="25" t="str">
        <x:v>P3.01, P3.07</x:v>
      </x:c>
      <x:c r="J10" s="25" t="str">
        <x:v>根据具体局面使用有条件、可交换、可核验的商务表达。</x:v>
      </x:c>
      <x:c r="K10" s="25" t="str">
        <x:v>避免无理由让步、虚构事实或把策略当成固定话术。</x:v>
      </x:c>
      <x:c r="L10" s="25" t="str">
        <x:v>提高谈判行动的针对性、可执行性与风险可控性。</x:v>
      </x:c>
      <x:c r="M10" s="26" t="str">
        <x:v>还盘机会评估</x:v>
      </x:c>
    </x:row>
    <x:row r="11">
      <x:c r="A11" s="24" t="str">
        <x:v>K036</x:v>
      </x:c>
      <x:c r="B11" s="25" t="str">
        <x:v>还盘心理与保全面子策略</x:v>
      </x:c>
      <x:c r="C11" s="25" t="str">
        <x:v>Psychology and saving-face strategies in counter-offers</x:v>
      </x:c>
      <x:c r="D11" s="25" t="str">
        <x:v>通过新信息、组合方案或第三方约束给对方体面移动的理由，避免公开、二元式拒绝引发身份威胁和僵局。</x:v>
      </x:c>
      <x:c r="E11" s="25" t="str">
        <x:v>Give the counterpart a dignified way to move (new information, a package, a third-party constraint). Public, binary refusals trigger identity threat and deadlock.</x:v>
      </x:c>
      <x:c r="F11" s="25" t="str">
        <x:v>S3</x:v>
      </x:c>
      <x:c r="G11" s="25" t="str">
        <x:v>适用于：威胁对方面子的谈判；跨文化投诉处理失当</x:v>
      </x:c>
      <x:c r="H11" s="25" t="str">
        <x:v>通过新信息、组合方案或第三方约束给对方体面移动的理由，避免公开、二元式拒绝引发身份威胁和僵局。</x:v>
      </x:c>
      <x:c r="I11" s="25" t="str">
        <x:v>P3.05, P9.08</x:v>
      </x:c>
      <x:c r="J11" s="25" t="str">
        <x:v>根据具体局面使用有条件、可交换、可核验的商务表达。</x:v>
      </x:c>
      <x:c r="K11" s="25" t="str">
        <x:v>避免无理由让步、虚构事实或把策略当成固定话术。</x:v>
      </x:c>
      <x:c r="L11" s="25" t="str">
        <x:v>提高谈判行动的针对性、可执行性与风险可控性。</x:v>
      </x:c>
      <x:c r="M11" s="26" t="str">
        <x:v>保全面子策略</x:v>
      </x:c>
    </x:row>
    <x:row r="12">
      <x:c r="A12" s="24" t="str">
        <x:v>K037</x:v>
      </x:c>
      <x:c r="B12" s="25" t="str">
        <x:v>还盘僵局处理</x:v>
      </x:c>
      <x:c r="C12" s="25" t="str">
        <x:v>Counter-offers and negotiation deadlocks</x:v>
      </x:c>
      <x:c r="D12" s="25" t="str">
        <x:v>出现循环时应更换付款、数量、有效期或附加服务等方案包，而非只磨同一价格；必要时设置冷静期或引入调解。</x:v>
      </x:c>
      <x:c r="E12" s="25" t="str">
        <x:v>When looping, change the package (payment, volume, validity, extras) rather than grinding the same price. A cooling-off date or a mediator can reset the frame.</x:v>
      </x:c>
      <x:c r="F12" s="25" t="str">
        <x:v>S3</x:v>
      </x:c>
      <x:c r="G12" s="25" t="str">
        <x:v>适用于：反复还盘陷入僵局</x:v>
      </x:c>
      <x:c r="H12" s="25" t="str">
        <x:v>出现循环时应更换付款、数量、有效期或附加服务等方案包，而非只磨同一价格；必要时设置冷静期或引入调解。</x:v>
      </x:c>
      <x:c r="I12" s="25" t="str">
        <x:v>P3.01</x:v>
      </x:c>
      <x:c r="J12" s="25" t="str">
        <x:v>根据具体局面使用有条件、可交换、可核验的商务表达。</x:v>
      </x:c>
      <x:c r="K12" s="25" t="str">
        <x:v>避免无理由让步、虚构事实或把策略当成固定话术。</x:v>
      </x:c>
      <x:c r="L12" s="25" t="str">
        <x:v>提高谈判行动的针对性、可执行性与风险可控性。</x:v>
      </x:c>
      <x:c r="M12" s="26" t="str">
        <x:v>还盘破局</x:v>
      </x:c>
    </x:row>
    <x:row r="13">
      <x:c r="A13" s="24" t="str">
        <x:v>K038</x:v>
      </x:c>
      <x:c r="B13" s="25" t="str">
        <x:v>还盘后的磋商技巧</x:v>
      </x:c>
      <x:c r="C13" s="25" t="str">
        <x:v>Bargaining techniques after a counter-offer</x:v>
      </x:c>
      <x:c r="D13" s="25" t="str">
        <x:v>首次还盘后应按方案包谈判，运用“如果—那么”交换并记录每次移动；重开已关闭事项必须附带新让步。</x:v>
      </x:c>
      <x:c r="E13" s="25" t="str">
        <x:v>After the first counter, bargain in packages, use if-then trades, and log each move. Do not reopen closed items without a new concession attached.</x:v>
      </x:c>
      <x:c r="F13" s="25" t="str">
        <x:v>S3</x:v>
      </x:c>
      <x:c r="G13" s="25" t="str">
        <x:v>适用于：单方面持续让步；还盘时机或措辞不当</x:v>
      </x:c>
      <x:c r="H13" s="25" t="str">
        <x:v>首次还盘后应按方案包谈判，运用“如果—那么”交换并记录每次移动；重开已关闭事项必须附带新让步。</x:v>
      </x:c>
      <x:c r="I13" s="25" t="str">
        <x:v>P3.04, P3.07</x:v>
      </x:c>
      <x:c r="J13" s="25" t="str">
        <x:v>根据具体局面使用有条件、可交换、可核验的商务表达。</x:v>
      </x:c>
      <x:c r="K13" s="25" t="str">
        <x:v>避免无理由让步、虚构事实或把策略当成固定话术。</x:v>
      </x:c>
      <x:c r="L13" s="25" t="str">
        <x:v>提高谈判行动的针对性、可执行性与风险可控性。</x:v>
      </x:c>
      <x:c r="M13" s="26" t="str">
        <x:v>还盘后磋商</x:v>
      </x:c>
    </x:row>
    <x:row r="14">
      <x:c r="A14" s="24" t="str">
        <x:v>K057</x:v>
      </x:c>
      <x:c r="B14" s="25" t="str">
        <x:v>运输方式选择</x:v>
      </x:c>
      <x:c r="C14" s="25" t="str">
        <x:v>Selection of shipping methods</x:v>
      </x:c>
      <x:c r="D14" s="25" t="str">
        <x:v>依据成本、时间、风险、货物性质和贸易术语选择海运、空运、铁路或多式联运；最低运费不等于最低到岸成本。</x:v>
      </x:c>
      <x:c r="E14" s="25" t="str">
        <x:v>Choose ocean, air, rail, or multimodal on cost, time, risk, cargo nature, and Incoterm. The cheapest freight is not the cheapest landed cost if it misses the season.</x:v>
      </x:c>
      <x:c r="F14" s="25" t="str">
        <x:v>S5</x:v>
      </x:c>
      <x:c r="G14" s="25" t="str">
        <x:v>适用于：运输方式错误或错过船期</x:v>
      </x:c>
      <x:c r="H14" s="25" t="str">
        <x:v>依据成本、时间、风险、货物性质和贸易术语选择海运、空运、铁路或多式联运；最低运费不等于最低到岸成本。</x:v>
      </x:c>
      <x:c r="I14" s="25" t="str">
        <x:v>P5.04</x:v>
      </x:c>
      <x:c r="J14" s="25" t="str">
        <x:v>根据具体局面使用有条件、可交换、可核验的商务表达。</x:v>
      </x:c>
      <x:c r="K14" s="25" t="str">
        <x:v>避免无理由让步、虚构事实或把策略当成固定话术。</x:v>
      </x:c>
      <x:c r="L14" s="25" t="str">
        <x:v>提高谈判行动的针对性、可执行性与风险可控性。</x:v>
      </x:c>
      <x:c r="M14" s="26" t="str">
        <x:v>运输方式选择</x:v>
      </x:c>
    </x:row>
    <x:row r="15">
      <x:c r="A15" s="24" t="str">
        <x:v>K061</x:v>
      </x:c>
      <x:c r="B15" s="25" t="str">
        <x:v>包装成本控制</x:v>
      </x:c>
      <x:c r="C15" s="25" t="str">
        <x:v>Packaging cost control</x:v>
      </x:c>
      <x:c r="D15" s="25" t="str">
        <x:v>通过合理尺寸、提高装箱率和避免无必要的过度包装降本，但不得低于保险人和承运人的最低要求。</x:v>
      </x:c>
      <x:c r="E15" s="25" t="str">
        <x:v>Right-size the pack, raise container utilisation, and avoid over-spec that the cargo does not need — without cutting below insurer and carrier minimums.</x:v>
      </x:c>
      <x:c r="F15" s="25" t="str">
        <x:v>S5</x:v>
      </x:c>
      <x:c r="G15" s="25" t="str">
        <x:v>适用于：包装未通过防潮防盗或运输测试</x:v>
      </x:c>
      <x:c r="H15" s="25" t="str">
        <x:v>通过合理尺寸、提高装箱率和避免无必要的过度包装降本，但不得低于保险人和承运人的最低要求。</x:v>
      </x:c>
      <x:c r="I15" s="25" t="str">
        <x:v>P5.01</x:v>
      </x:c>
      <x:c r="J15" s="25" t="str">
        <x:v>根据具体局面使用有条件、可交换、可核验的商务表达。</x:v>
      </x:c>
      <x:c r="K15" s="25" t="str">
        <x:v>避免无理由让步、虚构事实或把策略当成固定话术。</x:v>
      </x:c>
      <x:c r="L15" s="25" t="str">
        <x:v>提高谈判行动的针对性、可执行性与风险可控性。</x:v>
      </x:c>
      <x:c r="M15" s="26" t="str">
        <x:v>包装成本控制</x:v>
      </x:c>
    </x:row>
    <x:row r="16">
      <x:c r="A16" s="24" t="str">
        <x:v>K069</x:v>
      </x:c>
      <x:c r="B16" s="25" t="str">
        <x:v>付款方式僵局处理</x:v>
      </x:c>
      <x:c r="C16" s="25" t="str">
        <x:v>Payment-method deadlock handling</x:v>
      </x:c>
      <x:c r="D16" s="25" t="str">
        <x:v>L/C 与 T/T 僵持时，可用较小金额信用证、定金加托收或保兑信用证交换价格和数量条件，避免固守单一工具。</x:v>
      </x:c>
      <x:c r="E16" s="25" t="str">
        <x:v>When L/C vs T/T stalls, use retreat-to-advance: offer a smaller L/C, a deposit plus collection, or a confirmed L/C in exchange for price or volume. Do not freeze on one instrument.</x:v>
      </x:c>
      <x:c r="F16" s="25" t="str">
        <x:v>S6</x:v>
      </x:c>
      <x:c r="G16" s="25" t="str">
        <x:v>适用于：反复还盘陷入僵局；付款方式谈判僵局；混合付款方案设计不当</x:v>
      </x:c>
      <x:c r="H16" s="25" t="str">
        <x:v>L/C 与 T/T 僵持时，可用较小金额信用证、定金加托收或保兑信用证交换价格和数量条件，避免固守单一工具。</x:v>
      </x:c>
      <x:c r="I16" s="25" t="str">
        <x:v>P3.01, P6.01, P6.07</x:v>
      </x:c>
      <x:c r="J16" s="25" t="str">
        <x:v>根据具体局面使用有条件、可交换、可核验的商务表达。</x:v>
      </x:c>
      <x:c r="K16" s="25" t="str">
        <x:v>避免无理由让步、虚构事实或把策略当成固定话术。</x:v>
      </x:c>
      <x:c r="L16" s="25" t="str">
        <x:v>提高谈判行动的针对性、可执行性与风险可控性。</x:v>
      </x:c>
      <x:c r="M16" s="26" t="str">
        <x:v>付款僵局处理</x:v>
      </x:c>
    </x:row>
    <x:row r="17">
      <x:c r="A17" s="24" t="str">
        <x:v>K070</x:v>
      </x:c>
      <x:c r="B17" s="25" t="str">
        <x:v>付款方式比较与选择</x:v>
      </x:c>
      <x:c r="C17" s="25" t="str">
        <x:v>Comparison and selection of payment methods</x:v>
      </x:c>
      <x:c r="D17" s="25" t="str">
        <x:v>按信用风险、单据风险、政治风险和成本排序，并结合交易历史、国别风险和订单规模选择付款方式。</x:v>
      </x:c>
      <x:c r="E17" s="25" t="str">
        <x:v>Rank methods by who bears credit, document, and political risk, and by cost. Match the method to counterpart history, country risk, and order size.</x:v>
      </x:c>
      <x:c r="F17" s="25" t="str">
        <x:v>S6</x:v>
      </x:c>
      <x:c r="G17" s="25" t="str">
        <x:v>适用于：付款方式谈判僵局；T/T 余款拖延或信用被滥用；混合付款方案设计不当</x:v>
      </x:c>
      <x:c r="H17" s="25" t="str">
        <x:v>按信用风险、单据风险、政治风险和成本排序，并结合交易历史、国别风险和订单规模选择付款方式。</x:v>
      </x:c>
      <x:c r="I17" s="25" t="str">
        <x:v>P6.01, P6.04, P6.07</x:v>
      </x:c>
      <x:c r="J17" s="25" t="str">
        <x:v>根据具体局面使用有条件、可交换、可核验的商务表达。</x:v>
      </x:c>
      <x:c r="K17" s="25" t="str">
        <x:v>避免无理由让步、虚构事实或把策略当成固定话术。</x:v>
      </x:c>
      <x:c r="L17" s="25" t="str">
        <x:v>提高谈判行动的针对性、可执行性与风险可控性。</x:v>
      </x:c>
      <x:c r="M17" s="26" t="str">
        <x:v>付款方式选择</x:v>
      </x:c>
    </x:row>
    <x:row r="18">
      <x:c r="A18" s="24" t="str">
        <x:v>K073</x:v>
      </x:c>
      <x:c r="B18" s="25" t="str">
        <x:v>预付款、融资与赊销</x:v>
      </x:c>
      <x:c r="C18" s="25" t="str">
        <x:v>Prepayments, financing, and credit sales</x:v>
      </x:c>
      <x:c r="D18" s="25" t="str">
        <x:v>定金、红条款信用证、福费廷和信用保险项下赊销可用于生产融资或授信，融资成本应计入报价。</x:v>
      </x:c>
      <x:c r="E18" s="25" t="str">
        <x:v>Deposits, red-clause L/Cs, forfaiting, and insured open account are tools to fund production or grant credit. Price the financing into the offer; do not give it away.</x:v>
      </x:c>
      <x:c r="F18" s="25" t="str">
        <x:v>S6</x:v>
      </x:c>
      <x:c r="G18" s="25" t="str">
        <x:v>适用于：付款方式谈判僵局；T/T 余款拖延或信用被滥用；混合付款方案设计不当</x:v>
      </x:c>
      <x:c r="H18" s="25" t="str">
        <x:v>定金、红条款信用证、福费廷和信用保险项下赊销可用于生产融资或授信，融资成本应计入报价。</x:v>
      </x:c>
      <x:c r="I18" s="25" t="str">
        <x:v>P6.01, P6.04, P6.07</x:v>
      </x:c>
      <x:c r="J18" s="25" t="str">
        <x:v>根据具体局面使用有条件、可交换、可核验的商务表达。</x:v>
      </x:c>
      <x:c r="K18" s="25" t="str">
        <x:v>避免无理由让步、虚构事实或把策略当成固定话术。</x:v>
      </x:c>
      <x:c r="L18" s="25" t="str">
        <x:v>提高谈判行动的针对性、可执行性与风险可控性。</x:v>
      </x:c>
      <x:c r="M18" s="26" t="str">
        <x:v>预付款与融资</x:v>
      </x:c>
    </x:row>
    <x:row r="19">
      <x:c r="A19" s="24" t="str">
        <x:v>K076</x:v>
      </x:c>
      <x:c r="B19" s="25" t="str">
        <x:v>混合与综合付款方式</x:v>
      </x:c>
      <x:c r="C19" s="25" t="str">
        <x:v>Hybrid and integrated payment methods</x:v>
      </x:c>
      <x:c r="D19" s="25" t="str">
        <x:v>组合 30% T/T 与 70% 即期 L/C 等工具时，应明确触发条件、单据清单、时间表和汇率规则。</x:v>
      </x:c>
      <x:c r="E19" s="25" t="str">
        <x:v>Combine instruments (e.g. 30% T/T + 70% sight L/C) with clear triggers, document lists, and FX rules. A hybrid without a timeline is a future deadlock.</x:v>
      </x:c>
      <x:c r="F19" s="25" t="str">
        <x:v>S6</x:v>
      </x:c>
      <x:c r="G19" s="25" t="str">
        <x:v>适用于：付款方式谈判僵局；汇率波动侵蚀利润；混合付款方案设计不当</x:v>
      </x:c>
      <x:c r="H19" s="25" t="str">
        <x:v>组合 30% T/T 与 70% 即期 L/C 等工具时，应明确触发条件、单据清单、时间表和汇率规则。</x:v>
      </x:c>
      <x:c r="I19" s="25" t="str">
        <x:v>P6.01, P6.03, P6.07</x:v>
      </x:c>
      <x:c r="J19" s="25" t="str">
        <x:v>根据具体局面使用有条件、可交换、可核验的商务表达。</x:v>
      </x:c>
      <x:c r="K19" s="25" t="str">
        <x:v>避免无理由让步、虚构事实或把策略当成固定话术。</x:v>
      </x:c>
      <x:c r="L19" s="25" t="str">
        <x:v>提高谈判行动的针对性、可执行性与风险可控性。</x:v>
      </x:c>
      <x:c r="M19" s="26" t="str">
        <x:v>混合付款设计</x:v>
      </x:c>
    </x:row>
    <x:row r="20">
      <x:c r="A20" s="24" t="str">
        <x:v>K085</x:v>
      </x:c>
      <x:c r="B20" s="25" t="str">
        <x:v>检验机构选择标准</x:v>
      </x:c>
      <x:c r="C20" s="25" t="str">
        <x:v>Selection criteria for inspection agencies</x:v>
      </x:c>
      <x:c r="D20" s="25" t="str">
        <x:v>依据资质、目的地认可度、速度和独立性选择机构；买方指定机构并不当然偏颇，但委托范围必须书面明确。</x:v>
      </x:c>
      <x:c r="E20" s="25" t="str">
        <x:v>Choose by accreditation, destination recognition, speed, and independence. A buyer-nominated inspector is not automatically biased — but the mandate must be written.</x:v>
      </x:c>
      <x:c r="F20" s="25" t="str">
        <x:v>S7</x:v>
      </x:c>
      <x:c r="G20" s="25" t="str">
        <x:v>适用于：检验标准相互冲突；检验费用承担争议；多国认证或环保测试失败</x:v>
      </x:c>
      <x:c r="H20" s="25" t="str">
        <x:v>依据资质、目的地认可度、速度和独立性选择机构；买方指定机构并不当然偏颇，但委托范围必须书面明确。</x:v>
      </x:c>
      <x:c r="I20" s="25" t="str">
        <x:v>P7.02, P7.04, P7.07</x:v>
      </x:c>
      <x:c r="J20" s="25" t="str">
        <x:v>根据具体局面使用有条件、可交换、可核验的商务表达。</x:v>
      </x:c>
      <x:c r="K20" s="25" t="str">
        <x:v>避免无理由让步、虚构事实或把策略当成固定话术。</x:v>
      </x:c>
      <x:c r="L20" s="25" t="str">
        <x:v>提高谈判行动的针对性、可执行性与风险可控性。</x:v>
      </x:c>
      <x:c r="M20" s="26" t="str">
        <x:v>检验机构选择</x:v>
      </x:c>
    </x:row>
    <x:row r="21">
      <x:c r="A21" s="24" t="str">
        <x:v>K091</x:v>
      </x:c>
      <x:c r="B21" s="25" t="str">
        <x:v>保险险别与承保范围选择</x:v>
      </x:c>
      <x:c r="C21" s="25" t="str">
        <x:v>Types of insurance and coverage selection</x:v>
      </x:c>
      <x:c r="D21" s="25" t="str">
        <x:v>ICC(A/B/C) 或中国保险条款、战争险、罢工险及仓至仓条款应匹配货物、路线和贸易术语；A 险并非总是必要，C 险也可能不足。</x:v>
      </x:c>
      <x:c r="E21" s="25" t="str">
        <x:v>Institute Cargo Clauses A/B/C (or CIC equivalents), war, SRCC, and warehouse-to-warehouse must match cargo, route, and Incoterm. Clause A is not always required; Clause C is often too thin.</x:v>
      </x:c>
      <x:c r="F21" s="25" t="str">
        <x:v>S8</x:v>
      </x:c>
      <x:c r="G21" s="25" t="str">
        <x:v>适用于：不足额投保或险别与术语不匹配</x:v>
      </x:c>
      <x:c r="H21" s="25" t="str">
        <x:v>ICC(A/B/C) 或中国保险条款、战争险、罢工险及仓至仓条款应匹配货物、路线和贸易术语；A 险并非总是必要，C 险也可能不足。</x:v>
      </x:c>
      <x:c r="I21" s="25" t="str">
        <x:v>P8.01</x:v>
      </x:c>
      <x:c r="J21" s="25" t="str">
        <x:v>根据具体局面使用有条件、可交换、可核验的商务表达。</x:v>
      </x:c>
      <x:c r="K21" s="25" t="str">
        <x:v>避免无理由让步、虚构事实或把策略当成固定话术。</x:v>
      </x:c>
      <x:c r="L21" s="25" t="str">
        <x:v>提高谈判行动的针对性、可执行性与风险可控性。</x:v>
      </x:c>
      <x:c r="M21" s="26" t="str">
        <x:v>险别范围选择</x:v>
      </x:c>
    </x:row>
    <x:row r="22">
      <x:c r="A22" s="24" t="str">
        <x:v>K096</x:v>
      </x:c>
      <x:c r="B22" s="25" t="str">
        <x:v>仲裁制度与机构选择</x:v>
      </x:c>
      <x:c r="C22" s="25" t="str">
        <x:v>Arbitration systems and institution selection</x:v>
      </x:c>
      <x:c r="D22" s="25" t="str">
        <x:v>应依据语言、成本、仲裁地及对方资产所在地的执行便利，选择 CIETAC、HKIAC、SIAC、ICC 或临时仲裁。</x:v>
      </x:c>
      <x:c r="E22" s="25" t="str">
        <x:v>Choose CIETAC, HKIAC, SIAC, ICC, or ad hoc with a reason: language, cost, seat, and enforceability against the counterpart’s assets. Institution is not a prestige item.</x:v>
      </x:c>
      <x:c r="F22" s="25" t="str">
        <x:v>S8</x:v>
      </x:c>
      <x:c r="G22" s="25" t="str">
        <x:v>适用于：仲裁地不当导致裁决难执行；诉讼与仲裁选择分歧；仲裁成本与周期失控</x:v>
      </x:c>
      <x:c r="H22" s="25" t="str">
        <x:v>应依据语言、成本、仲裁地及对方资产所在地的执行便利，选择 CIETAC、HKIAC、SIAC、ICC 或临时仲裁。</x:v>
      </x:c>
      <x:c r="I22" s="25" t="str">
        <x:v>P8.04, P8.05, P8.07</x:v>
      </x:c>
      <x:c r="J22" s="25" t="str">
        <x:v>根据具体局面使用有条件、可交换、可核验的商务表达。</x:v>
      </x:c>
      <x:c r="K22" s="25" t="str">
        <x:v>避免无理由让步、虚构事实或把策略当成固定话术。</x:v>
      </x:c>
      <x:c r="L22" s="25" t="str">
        <x:v>提高谈判行动的针对性、可执行性与风险可控性。</x:v>
      </x:c>
      <x:c r="M22" s="26" t="str">
        <x:v>仲裁机构选择</x:v>
      </x:c>
    </x:row>
    <x:row r="23">
      <x:c r="A23" s="24" t="str">
        <x:v>K103</x:v>
      </x:c>
      <x:c r="B23" s="25" t="str">
        <x:v>沟通、倾听与客户服务语言</x:v>
      </x:c>
      <x:c r="C23" s="25" t="str">
        <x:v>Communication, listening, and customer-service language</x:v>
      </x:c>
      <x:c r="D23" s="25" t="str">
        <x:v>先倾听并复述诉求，区分人与问题，避免过早归责；书面回复应客观、注明日期且不激化冲突。</x:v>
      </x:c>
      <x:c r="E23" s="25" t="str">
        <x:v>Listen first, restate the grievance, separate person from problem, and avoid premature blame. Written replies should be factual, dated, and non-inflammatory.</x:v>
      </x:c>
      <x:c r="F23" s="25" t="str">
        <x:v>S9</x:v>
      </x:c>
      <x:c r="G23" s="25" t="str">
        <x:v>适用于：情绪化投诉升级与声誉风险；跨文化投诉处理失当</x:v>
      </x:c>
      <x:c r="H23" s="25" t="str">
        <x:v>先倾听并复述诉求，区分人与问题，避免过早归责；书面回复应客观、注明日期且不激化冲突。</x:v>
      </x:c>
      <x:c r="I23" s="25" t="str">
        <x:v>P9.02, P9.08</x:v>
      </x:c>
      <x:c r="J23" s="25" t="str">
        <x:v>根据具体局面使用有条件、可交换、可核验的商务表达。</x:v>
      </x:c>
      <x:c r="K23" s="25" t="str">
        <x:v>避免无理由让步、虚构事实或把策略当成固定话术。</x:v>
      </x:c>
      <x:c r="L23" s="25" t="str">
        <x:v>提高谈判行动的针对性、可执行性与风险可控性。</x:v>
      </x:c>
      <x:c r="M23" s="26" t="str">
        <x:v>投诉沟通倾听</x:v>
      </x:c>
    </x:row>
    <x:row r="24">
      <x:c r="A24" s="24" t="str">
        <x:v>K104</x:v>
      </x:c>
      <x:c r="B24" s="25" t="str">
        <x:v>客户心理分析与服务补救</x:v>
      </x:c>
      <x:c r="C24" s="25" t="str">
        <x:v>Customer psychology analysis and service recovery</x:v>
      </x:c>
      <x:c r="D24" s="25" t="str">
        <x:v>合理投诉可通过道歉、补救和预防恢复信任；不合理投诉也应以证据和尊重明确拒绝，而非说教。</x:v>
      </x:c>
      <x:c r="E24" s="25" t="str">
        <x:v>A justified complaint is a chance to recover trust (apology + remedy + prevention). An unjustified one still needs a respectful 'no' with evidence, not a lecture.</x:v>
      </x:c>
      <x:c r="F24" s="25" t="str">
        <x:v>S9</x:v>
      </x:c>
      <x:c r="G24" s="25" t="str">
        <x:v>适用于：情绪化投诉升级与声誉风险；赔偿金额谈判僵局</x:v>
      </x:c>
      <x:c r="H24" s="25" t="str">
        <x:v>合理投诉可通过道歉、补救和预防恢复信任；不合理投诉也应以证据和尊重明确拒绝，而非说教。</x:v>
      </x:c>
      <x:c r="I24" s="25" t="str">
        <x:v>P9.02, P9.06</x:v>
      </x:c>
      <x:c r="J24" s="25" t="str">
        <x:v>根据具体局面使用有条件、可交换、可核验的商务表达。</x:v>
      </x:c>
      <x:c r="K24" s="25" t="str">
        <x:v>避免无理由让步、虚构事实或把策略当成固定话术。</x:v>
      </x:c>
      <x:c r="L24" s="25" t="str">
        <x:v>提高谈判行动的针对性、可执行性与风险可控性。</x:v>
      </x:c>
      <x:c r="M24" s="26" t="str">
        <x:v>服务补救</x:v>
      </x:c>
    </x:row>
    <x:row r="25">
      <x:c r="A25" s="27" t="str">
        <x:v>K118</x:v>
      </x:c>
      <x:c r="B25" s="28" t="str">
        <x:v>索赔谈判、和解、调解与诉讼</x:v>
      </x:c>
      <x:c r="C25" s="28" t="str">
        <x:v>Claim negotiation, settlement, mediation and litigation</x:v>
      </x:c>
      <x:c r="D25" s="28" t="str">
        <x:v>以调解、仲裁或诉讼作为 BATNA 谈判赔偿金额；和解协议应明确最终性、范围及是否承认责任。</x:v>
      </x:c>
      <x:c r="E25" s="28" t="str">
        <x:v>Negotiate quantum with a BATNA (mediation, arbitration, court). Settlement agreements should be final, scoped, and silent on admission unless that is the price of peace.</x:v>
      </x:c>
      <x:c r="F25" s="28" t="str">
        <x:v>S9</x:v>
      </x:c>
      <x:c r="G25" s="28" t="str">
        <x:v>适用于：仲裁成本与周期失控；赔偿金额谈判僵局</x:v>
      </x:c>
      <x:c r="H25" s="28" t="str">
        <x:v>以调解、仲裁或诉讼作为 BATNA 谈判赔偿金额；和解协议应明确最终性、范围及是否承认责任。</x:v>
      </x:c>
      <x:c r="I25" s="28" t="str">
        <x:v>P8.07, P9.06</x:v>
      </x:c>
      <x:c r="J25" s="28" t="str">
        <x:v>根据具体局面使用有条件、可交换、可核验的商务表达。</x:v>
      </x:c>
      <x:c r="K25" s="28" t="str">
        <x:v>避免无理由让步、虚构事实或把策略当成固定话术。</x:v>
      </x:c>
      <x:c r="L25" s="28" t="str">
        <x:v>提高谈判行动的针对性、可执行性与风险可控性。</x:v>
      </x:c>
      <x:c r="M25" s="29" t="str">
        <x:v>索赔和解策略</x:v>
      </x:c>
    </x:row>
  </x:sheetData>
  <x:pageMargins left="0.7" right="0.7" top="0.75" bottom="0.75" header="0.3" footer="0.3"/>
  <x:tableParts count="1">
    <x:tablePart xmlns:r="http://schemas.openxmlformats.org/officeDocument/2006/relationships" r:id="Rcbc2d391a6654b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60" hidden="0" customWidth="1"/>
    <x:col min="5" max="5" width="68" hidden="0" customWidth="1"/>
  </x:cols>
  <x:sheetData>
    <x:row r="1" ht="30" customHeight="1">
      <x:c r="A1" s="21" t="str">
        <x:v>SourceID</x:v>
      </x:c>
      <x:c r="B1" s="22" t="str">
        <x:v>RelationType</x:v>
      </x:c>
      <x:c r="C1" s="22" t="str">
        <x:v>TargetID</x:v>
      </x:c>
      <x:c r="D1" s="22" t="str">
        <x:v>AddressingNoteZH</x:v>
      </x:c>
      <x:c r="E1" s="23" t="str">
        <x:v>AddressingNoteEN</x:v>
      </x:c>
    </x:row>
    <x:row r="2">
      <x:c r="A2" s="24" t="str">
        <x:v>P1.01</x:v>
      </x:c>
      <x:c r="B2" s="25" t="str">
        <x:v>REQUIRES_RESOURCE</x:v>
      </x:c>
      <x:c r="C2" s="25" t="str">
        <x:v>K001</x:v>
      </x:c>
      <x:c r="D2" s="25" t="str">
        <x:v>“询盘的定义”可用于识别、预防或处理“试探性询盘”。</x:v>
      </x:c>
      <x:c r="E2" s="26" t="str">
        <x:v>Names the act: a fishing RFQ is still only an inquiry, not a deal.</x:v>
      </x:c>
    </x:row>
    <x:row r="3">
      <x:c r="A3" s="24" t="str">
        <x:v>P1.01</x:v>
      </x:c>
      <x:c r="B3" s="25" t="str">
        <x:v>REQUIRES_RESOURCE</x:v>
      </x:c>
      <x:c r="C3" s="25" t="str">
        <x:v>K002</x:v>
      </x:c>
      <x:c r="D3" s="25" t="str">
        <x:v>“询盘的类型”可用于识别、预防或处理“试探性询盘”。</x:v>
      </x:c>
      <x:c r="E3" s="26" t="str">
        <x:v>Tells you the counterpart is running a general, not a specific, inquiry.</x:v>
      </x:c>
    </x:row>
    <x:row r="4">
      <x:c r="A4" s="24" t="str">
        <x:v>P1.01</x:v>
      </x:c>
      <x:c r="B4" s="25" t="str">
        <x:v>REQUIRES_RESOURCE</x:v>
      </x:c>
      <x:c r="C4" s="25" t="str">
        <x:v>K003</x:v>
      </x:c>
      <x:c r="D4" s="25" t="str">
        <x:v>“询盘的法律性质”可用于识别、预防或处理“试探性询盘”。</x:v>
      </x:c>
      <x:c r="E4" s="26" t="str">
        <x:v>Keeps you from treating a fishing RFQ as a binding request.</x:v>
      </x:c>
    </x:row>
    <x:row r="5">
      <x:c r="A5" s="24" t="str">
        <x:v>P1.01</x:v>
      </x:c>
      <x:c r="B5" s="25" t="str">
        <x:v>REQUIRES_STRATEGY</x:v>
      </x:c>
      <x:c r="C5" s="25" t="str">
        <x:v>K005</x:v>
      </x:c>
      <x:c r="D5" s="25" t="str">
        <x:v>运用“宽泛询盘策略”应对“试探性询盘”，把原则转化为可执行的谈判行动。</x:v>
      </x:c>
      <x:c r="E5" s="26" t="str">
        <x:v>Answers with a broad, low-commitment reply that does not leak your floor.</x:v>
      </x:c>
    </x:row>
    <x:row r="6">
      <x:c r="A6" s="24" t="str">
        <x:v>P1.01</x:v>
      </x:c>
      <x:c r="B6" s="25" t="str">
        <x:v>REQUIRES_RESOURCE</x:v>
      </x:c>
      <x:c r="C6" s="25" t="str">
        <x:v>K010</x:v>
      </x:c>
      <x:c r="D6" s="25" t="str">
        <x:v>“询盘前信息收集与市场调研”可用于识别、预防或处理“试探性询盘”。</x:v>
      </x:c>
      <x:c r="E6" s="26" t="str">
        <x:v>Checks whether the inquirer is a real buyer before you invest in a full quote.</x:v>
      </x:c>
    </x:row>
    <x:row r="7">
      <x:c r="A7" s="24" t="str">
        <x:v>P1.01</x:v>
      </x:c>
      <x:c r="B7" s="25" t="str">
        <x:v>REQUIRES_RESOURCE</x:v>
      </x:c>
      <x:c r="C7" s="25" t="str">
        <x:v>K011</x:v>
      </x:c>
      <x:c r="D7" s="25" t="str">
        <x:v>“询盘比较分析”可用于识别、预防或处理“试探性询盘”。</x:v>
      </x:c>
      <x:c r="E7" s="26" t="str">
        <x:v>Compares this RFQ with others to see if it is a serial fishing pattern.</x:v>
      </x:c>
    </x:row>
    <x:row r="8">
      <x:c r="A8" s="24" t="str">
        <x:v>P1.02</x:v>
      </x:c>
      <x:c r="B8" s="25" t="str">
        <x:v>REQUIRES_STRATEGY</x:v>
      </x:c>
      <x:c r="C8" s="25" t="str">
        <x:v>K006</x:v>
      </x:c>
      <x:c r="D8" s="25" t="str">
        <x:v>运用“精准询盘策略”应对“询盘要素不完整”，把原则转化为可执行的谈判行动。</x:v>
      </x:c>
      <x:c r="E8" s="26" t="str">
        <x:v>Turns the incomplete RFQ into a precise one by asking for missing specs.</x:v>
      </x:c>
    </x:row>
    <x:row r="9">
      <x:c r="A9" s="24" t="str">
        <x:v>P1.02</x:v>
      </x:c>
      <x:c r="B9" s="25" t="str">
        <x:v>REQUIRES_RESOURCE</x:v>
      </x:c>
      <x:c r="C9" s="25" t="str">
        <x:v>K008</x:v>
      </x:c>
      <x:c r="D9" s="25" t="str">
        <x:v>“询盘函结构与语言”可用于识别、预防或处理“询盘要素不完整”。</x:v>
      </x:c>
      <x:c r="E9" s="26" t="str">
        <x:v>Supplies the checklist of fields a usable inquiry must contain.</x:v>
      </x:c>
    </x:row>
    <x:row r="10">
      <x:c r="A10" s="24" t="str">
        <x:v>P1.02</x:v>
      </x:c>
      <x:c r="B10" s="25" t="str">
        <x:v>REQUIRES_RESOURCE</x:v>
      </x:c>
      <x:c r="C10" s="25" t="str">
        <x:v>K010</x:v>
      </x:c>
      <x:c r="D10" s="25" t="str">
        <x:v>“询盘前信息收集与市场调研”可用于识别、预防或处理“询盘要素不完整”。</x:v>
      </x:c>
      <x:c r="E10" s="26" t="str">
        <x:v>Fills gaps with research rather than guessing destination or packing.</x:v>
      </x:c>
    </x:row>
    <x:row r="11">
      <x:c r="A11" s="24" t="str">
        <x:v>P1.02</x:v>
      </x:c>
      <x:c r="B11" s="25" t="str">
        <x:v>REQUIRES_RESOURCE</x:v>
      </x:c>
      <x:c r="C11" s="25" t="str">
        <x:v>K002</x:v>
      </x:c>
      <x:c r="D11" s="25" t="str">
        <x:v>“询盘的类型”可用于识别、预防或处理“询盘要素不完整”。</x:v>
      </x:c>
      <x:c r="E11" s="26" t="str">
        <x:v>Distinguishes a careless specific inquiry from a deliberately broad one.</x:v>
      </x:c>
    </x:row>
    <x:row r="12">
      <x:c r="A12" s="24" t="str">
        <x:v>P1.03</x:v>
      </x:c>
      <x:c r="B12" s="25" t="str">
        <x:v>REQUIRES_RESOURCE</x:v>
      </x:c>
      <x:c r="C12" s="25" t="str">
        <x:v>K009</x:v>
      </x:c>
      <x:c r="D12" s="25" t="str">
        <x:v>“询盘渠道与工具”可用于识别、预防或处理“多供应商询价泛滥”。</x:v>
      </x:c>
      <x:c r="E12" s="26" t="str">
        <x:v>Chooses channels that reduce anonymous blast-RFQs.</x:v>
      </x:c>
    </x:row>
    <x:row r="13">
      <x:c r="A13" s="24" t="str">
        <x:v>P1.03</x:v>
      </x:c>
      <x:c r="B13" s="25" t="str">
        <x:v>REQUIRES_RESOURCE</x:v>
      </x:c>
      <x:c r="C13" s="25" t="str">
        <x:v>K011</x:v>
      </x:c>
      <x:c r="D13" s="25" t="str">
        <x:v>“询盘比较分析”可用于识别、预防或处理“多供应商询价泛滥”。</x:v>
      </x:c>
      <x:c r="E13" s="26" t="str">
        <x:v>Imposes a comparison sheet so flooding does not become chaos.</x:v>
      </x:c>
    </x:row>
    <x:row r="14">
      <x:c r="A14" s="24" t="str">
        <x:v>P1.03</x:v>
      </x:c>
      <x:c r="B14" s="25" t="str">
        <x:v>REQUIRES_STRATEGY</x:v>
      </x:c>
      <x:c r="C14" s="25" t="str">
        <x:v>K012</x:v>
      </x:c>
      <x:c r="D14" s="25" t="str">
        <x:v>运用“询盘阶段价格谈判”应对“多供应商询价泛滥”，把原则转化为可执行的谈判行动。</x:v>
      </x:c>
      <x:c r="E14" s="26" t="str">
        <x:v>Stops you from racing the price down against unknown other bidders.</x:v>
      </x:c>
    </x:row>
    <x:row r="15">
      <x:c r="A15" s="24" t="str">
        <x:v>P1.03</x:v>
      </x:c>
      <x:c r="B15" s="25" t="str">
        <x:v>REQUIRES_STRATEGY</x:v>
      </x:c>
      <x:c r="C15" s="25" t="str">
        <x:v>K005</x:v>
      </x:c>
      <x:c r="D15" s="25" t="str">
        <x:v>运用“宽泛询盘策略”应对“多供应商询价泛滥”，把原则转化为可执行的谈判行动。</x:v>
      </x:c>
      <x:c r="E15" s="26" t="str">
        <x:v>Lets you reply lightly until the buyer shortlists.</x:v>
      </x:c>
    </x:row>
    <x:row r="16">
      <x:c r="A16" s="24" t="str">
        <x:v>P1.04</x:v>
      </x:c>
      <x:c r="B16" s="25" t="str">
        <x:v>REQUIRES_RESOURCE</x:v>
      </x:c>
      <x:c r="C16" s="25" t="str">
        <x:v>K003</x:v>
      </x:c>
      <x:c r="D16" s="25" t="str">
        <x:v>“询盘的法律性质”可用于识别、预防或处理“询盘意外构成发盘”。</x:v>
      </x:c>
      <x:c r="E16" s="26" t="str">
        <x:v>States the default legal nature so you know when you are leaving it.</x:v>
      </x:c>
    </x:row>
    <x:row r="17">
      <x:c r="A17" s="24" t="str">
        <x:v>P1.04</x:v>
      </x:c>
      <x:c r="B17" s="25" t="str">
        <x:v>REQUIRES_RESOURCE</x:v>
      </x:c>
      <x:c r="C17" s="25" t="str">
        <x:v>K004</x:v>
      </x:c>
      <x:c r="D17" s="25" t="str">
        <x:v>“询盘向发盘的转化”可用于识别、预防或处理“询盘意外构成发盘”。</x:v>
      </x:c>
      <x:c r="E17" s="26" t="str">
        <x:v>Flags the wording that would convert the inquiry into an offer.</x:v>
      </x:c>
    </x:row>
    <x:row r="18">
      <x:c r="A18" s="24" t="str">
        <x:v>P1.04</x:v>
      </x:c>
      <x:c r="B18" s="25" t="str">
        <x:v>REQUIRES_RESOURCE</x:v>
      </x:c>
      <x:c r="C18" s="25" t="str">
        <x:v>K008</x:v>
      </x:c>
      <x:c r="D18" s="25" t="str">
        <x:v>“询盘函结构与语言”可用于识别、预防或处理“询盘意外构成发盘”。</x:v>
      </x:c>
      <x:c r="E18" s="26" t="str">
        <x:v>Keeps the letter in inquiry form: questions, not commitments.</x:v>
      </x:c>
    </x:row>
    <x:row r="19">
      <x:c r="A19" s="24" t="str">
        <x:v>P1.04</x:v>
      </x:c>
      <x:c r="B19" s="25" t="str">
        <x:v>REQUIRES_RESOURCE</x:v>
      </x:c>
      <x:c r="C19" s="25" t="str">
        <x:v>K014</x:v>
      </x:c>
      <x:c r="D19" s="25" t="str">
        <x:v>“发盘的法律性质与解释”可用于识别、预防或处理“询盘意外构成发盘”。</x:v>
      </x:c>
      <x:c r="E19" s="26" t="str">
        <x:v>Shows the other side of the line: what an offer looks like if you cross it.</x:v>
      </x:c>
    </x:row>
    <x:row r="20">
      <x:c r="A20" s="24" t="str">
        <x:v>P1.05</x:v>
      </x:c>
      <x:c r="B20" s="25" t="str">
        <x:v>REQUIRES_RESOURCE</x:v>
      </x:c>
      <x:c r="C20" s="25" t="str">
        <x:v>K007</x:v>
      </x:c>
      <x:c r="D20" s="25" t="str">
        <x:v>“询盘礼仪与跨文化差异”可用于识别、预防或处理“首次接触礼仪失当”。</x:v>
      </x:c>
      <x:c r="E20" s="26" t="str">
        <x:v>Supplies the cultural script for first contact.</x:v>
      </x:c>
    </x:row>
    <x:row r="21">
      <x:c r="A21" s="24" t="str">
        <x:v>P1.05</x:v>
      </x:c>
      <x:c r="B21" s="25" t="str">
        <x:v>REQUIRES_RESOURCE</x:v>
      </x:c>
      <x:c r="C21" s="25" t="str">
        <x:v>K008</x:v>
      </x:c>
      <x:c r="D21" s="25" t="str">
        <x:v>“询盘函结构与语言”可用于识别、预防或处理“首次接触礼仪失当”。</x:v>
      </x:c>
      <x:c r="E21" s="26" t="str">
        <x:v>Gives a polite, complete letter structure that travels across cultures.</x:v>
      </x:c>
    </x:row>
    <x:row r="22">
      <x:c r="A22" s="24" t="str">
        <x:v>P1.05</x:v>
      </x:c>
      <x:c r="B22" s="25" t="str">
        <x:v>REQUIRES_RESOURCE</x:v>
      </x:c>
      <x:c r="C22" s="25" t="str">
        <x:v>K020</x:v>
      </x:c>
      <x:c r="D22" s="25" t="str">
        <x:v>“发盘礼仪与跨文化差异”可用于识别、预防或处理“首次接触礼仪失当”。</x:v>
      </x:c>
      <x:c r="E22" s="26" t="str">
        <x:v>Prepares you for how the same counterpart will read a later offer.</x:v>
      </x:c>
    </x:row>
    <x:row r="23">
      <x:c r="A23" s="24" t="str">
        <x:v>P1.06</x:v>
      </x:c>
      <x:c r="B23" s="25" t="str">
        <x:v>REQUIRES_STRATEGY</x:v>
      </x:c>
      <x:c r="C23" s="25" t="str">
        <x:v>K005</x:v>
      </x:c>
      <x:c r="D23" s="25" t="str">
        <x:v>运用“宽泛询盘策略”应对“隐瞒数量只问价格”，把原则转化为可执行的谈判行动。</x:v>
      </x:c>
      <x:c r="E23" s="26" t="str">
        <x:v>Replies with a range, not a firm unit price, until volume is disclosed.</x:v>
      </x:c>
    </x:row>
    <x:row r="24">
      <x:c r="A24" s="24" t="str">
        <x:v>P1.06</x:v>
      </x:c>
      <x:c r="B24" s="25" t="str">
        <x:v>REQUIRES_STRATEGY</x:v>
      </x:c>
      <x:c r="C24" s="25" t="str">
        <x:v>K006</x:v>
      </x:c>
      <x:c r="D24" s="25" t="str">
        <x:v>运用“精准询盘策略”应对“隐瞒数量只问价格”，把原则转化为可执行的谈判行动。</x:v>
      </x:c>
      <x:c r="E24" s="26" t="str">
        <x:v>Trades a precise quote for precise quantity and destination.</x:v>
      </x:c>
    </x:row>
    <x:row r="25">
      <x:c r="A25" s="24" t="str">
        <x:v>P1.06</x:v>
      </x:c>
      <x:c r="B25" s="25" t="str">
        <x:v>REQUIRES_STRATEGY</x:v>
      </x:c>
      <x:c r="C25" s="25" t="str">
        <x:v>K012</x:v>
      </x:c>
      <x:c r="D25" s="25" t="str">
        <x:v>运用“询盘阶段价格谈判”应对“隐瞒数量只问价格”，把原则转化为可执行的谈判行动。</x:v>
      </x:c>
      <x:c r="E25" s="26" t="str">
        <x:v>Runs early price talk as information exchange, not as a bid.</x:v>
      </x:c>
    </x:row>
    <x:row r="26">
      <x:c r="A26" s="24" t="str">
        <x:v>P1.06</x:v>
      </x:c>
      <x:c r="B26" s="25" t="str">
        <x:v>REQUIRES_RESOURCE</x:v>
      </x:c>
      <x:c r="C26" s="25" t="str">
        <x:v>K010</x:v>
      </x:c>
      <x:c r="D26" s="25" t="str">
        <x:v>“询盘前信息收集与市场调研”可用于识别、预防或处理“隐瞒数量只问价格”。</x:v>
      </x:c>
      <x:c r="E26" s="26" t="str">
        <x:v>Estimates a realistic volume from market data instead of accepting 'TBD'.</x:v>
      </x:c>
    </x:row>
    <x:row r="27">
      <x:c r="A27" s="24" t="str">
        <x:v>P1.06</x:v>
      </x:c>
      <x:c r="B27" s="25" t="str">
        <x:v>REQUIRES_STRATEGY</x:v>
      </x:c>
      <x:c r="C27" s="25" t="str">
        <x:v>K018</x:v>
      </x:c>
      <x:c r="D27" s="25" t="str">
        <x:v>运用“价格锚定策略”应对“隐瞒数量只问价格”，把原则转化为可执行的谈判行动。</x:v>
      </x:c>
      <x:c r="E27" s="26" t="str">
        <x:v>Avoids dropping an unanchored number the buyer will freeze as your ceiling.</x:v>
      </x:c>
    </x:row>
    <x:row r="28">
      <x:c r="A28" s="24" t="str">
        <x:v>P1.07</x:v>
      </x:c>
      <x:c r="B28" s="25" t="str">
        <x:v>REQUIRES_RESOURCE</x:v>
      </x:c>
      <x:c r="C28" s="25" t="str">
        <x:v>K010</x:v>
      </x:c>
      <x:c r="D28" s="25" t="str">
        <x:v>“询盘前信息收集与市场调研”可用于识别、预防或处理“未调研即询盘”。</x:v>
      </x:c>
      <x:c r="E28" s="26" t="str">
        <x:v>Makes market research a gate before the first RFQ goes out.</x:v>
      </x:c>
    </x:row>
    <x:row r="29">
      <x:c r="A29" s="24" t="str">
        <x:v>P1.07</x:v>
      </x:c>
      <x:c r="B29" s="25" t="str">
        <x:v>REQUIRES_RESOURCE</x:v>
      </x:c>
      <x:c r="C29" s="25" t="str">
        <x:v>K009</x:v>
      </x:c>
      <x:c r="D29" s="25" t="str">
        <x:v>“询盘渠道与工具”可用于识别、预防或处理“未调研即询盘”。</x:v>
      </x:c>
      <x:c r="E29" s="26" t="str">
        <x:v>Selects channels that already filter credible counterparties.</x:v>
      </x:c>
    </x:row>
    <x:row r="30">
      <x:c r="A30" s="24" t="str">
        <x:v>P1.07</x:v>
      </x:c>
      <x:c r="B30" s="25" t="str">
        <x:v>REQUIRES_RESOURCE</x:v>
      </x:c>
      <x:c r="C30" s="25" t="str">
        <x:v>K011</x:v>
      </x:c>
      <x:c r="D30" s="25" t="str">
        <x:v>“询盘比较分析”可用于识别、预防或处理“未调研即询盘”。</x:v>
      </x:c>
      <x:c r="E30" s="26" t="str">
        <x:v>Gives a method to process whatever replies then arrive.</x:v>
      </x:c>
    </x:row>
    <x:row r="31">
      <x:c r="A31" s="24" t="str">
        <x:v>P1.07</x:v>
      </x:c>
      <x:c r="B31" s="25" t="str">
        <x:v>REQUIRES_RESOURCE</x:v>
      </x:c>
      <x:c r="C31" s="25" t="str">
        <x:v>K002</x:v>
      </x:c>
      <x:c r="D31" s="25" t="str">
        <x:v>“询盘的类型”可用于识别、预防或处理“未调研即询盘”。</x:v>
      </x:c>
      <x:c r="E31" s="26" t="str">
        <x:v>Chooses general vs specific inquiry based on how much you already know.</x:v>
      </x:c>
    </x:row>
    <x:row r="32">
      <x:c r="A32" s="24" t="str">
        <x:v>P2.01</x:v>
      </x:c>
      <x:c r="B32" s="25" t="str">
        <x:v>REQUIRES_RESOURCE</x:v>
      </x:c>
      <x:c r="C32" s="25" t="str">
        <x:v>K013</x:v>
      </x:c>
      <x:c r="D32" s="25" t="str">
        <x:v>“发盘的定义”可用于识别、预防或处理“持续提供虚盘”。</x:v>
      </x:c>
      <x:c r="E32" s="26" t="str">
        <x:v>Defines a real offer so a 'subject to confirmation' quote is recognised as fishing.</x:v>
      </x:c>
    </x:row>
    <x:row r="33">
      <x:c r="A33" s="24" t="str">
        <x:v>P2.01</x:v>
      </x:c>
      <x:c r="B33" s="25" t="str">
        <x:v>REQUIRES_RESOURCE</x:v>
      </x:c>
      <x:c r="C33" s="25" t="str">
        <x:v>K014</x:v>
      </x:c>
      <x:c r="D33" s="25" t="str">
        <x:v>“发盘的法律性质与解释”可用于识别、预防或处理“持续提供虚盘”。</x:v>
      </x:c>
      <x:c r="E33" s="26" t="str">
        <x:v>Interprets whether any commitment is actually present.</x:v>
      </x:c>
    </x:row>
    <x:row r="34">
      <x:c r="A34" s="24" t="str">
        <x:v>P2.01</x:v>
      </x:c>
      <x:c r="B34" s="25" t="str">
        <x:v>REQUIRES_RESOURCE</x:v>
      </x:c>
      <x:c r="C34" s="25" t="str">
        <x:v>K023</x:v>
      </x:c>
      <x:c r="D34" s="25" t="str">
        <x:v>“附条件与限制性发盘”可用于识别、预防或处理“持续提供虚盘”。</x:v>
      </x:c>
      <x:c r="E34" s="26" t="str">
        <x:v>Reads stacked conditions as a non-offer, not as a firm deal.</x:v>
      </x:c>
    </x:row>
    <x:row r="35">
      <x:c r="A35" s="24" t="str">
        <x:v>P2.01</x:v>
      </x:c>
      <x:c r="B35" s="25" t="str">
        <x:v>REQUIRES_RESOURCE</x:v>
      </x:c>
      <x:c r="C35" s="25" t="str">
        <x:v>K024</x:v>
      </x:c>
      <x:c r="D35" s="25" t="str">
        <x:v>“发盘风险管理”可用于识别、预防或处理“持续提供虚盘”。</x:v>
      </x:c>
      <x:c r="E35" s="26" t="str">
        <x:v>Refuses to plan production against a revocable quotation.</x:v>
      </x:c>
    </x:row>
    <x:row r="36">
      <x:c r="A36" s="24" t="str">
        <x:v>P2.01</x:v>
      </x:c>
      <x:c r="B36" s="25" t="str">
        <x:v>REQUIRES_RESOURCE</x:v>
      </x:c>
      <x:c r="C36" s="25" t="str">
        <x:v>K020</x:v>
      </x:c>
      <x:c r="D36" s="25" t="str">
        <x:v>“发盘礼仪与跨文化差异”可用于识别、预防或处理“持续提供虚盘”。</x:v>
      </x:c>
      <x:c r="E36" s="26" t="str">
        <x:v>Separates cultures that quote loosely from counterparts who are stalling.</x:v>
      </x:c>
    </x:row>
    <x:row r="37">
      <x:c r="A37" s="24" t="str">
        <x:v>P2.01</x:v>
      </x:c>
      <x:c r="B37" s="25" t="str">
        <x:v>REQUIRES_STRATEGY</x:v>
      </x:c>
      <x:c r="C37" s="25" t="str">
        <x:v>K025</x:v>
      </x:c>
      <x:c r="D37" s="25" t="str">
        <x:v>运用“发盘谈判与心理策略”应对“持续提供虚盘”，把原则转化为可执行的谈判行动。</x:v>
      </x:c>
      <x:c r="E37" s="26" t="str">
        <x:v>Presses for a firm offer or walks, rather than negotiating a phantom number.</x:v>
      </x:c>
    </x:row>
    <x:row r="38">
      <x:c r="A38" s="24" t="str">
        <x:v>P2.02</x:v>
      </x:c>
      <x:c r="B38" s="25" t="str">
        <x:v>REQUIRES_RESOURCE</x:v>
      </x:c>
      <x:c r="C38" s="25" t="str">
        <x:v>K015</x:v>
      </x:c>
      <x:c r="D38" s="25" t="str">
        <x:v>“发盘有效期”可用于识别、预防或处理“发盘有效期模糊或缺失”。</x:v>
      </x:c>
      <x:c r="E38" s="26" t="str">
        <x:v>Inserts an explicit validity period with time zone.</x:v>
      </x:c>
    </x:row>
    <x:row r="39">
      <x:c r="A39" s="24" t="str">
        <x:v>P2.02</x:v>
      </x:c>
      <x:c r="B39" s="25" t="str">
        <x:v>REQUIRES_RESOURCE</x:v>
      </x:c>
      <x:c r="C39" s="25" t="str">
        <x:v>K014</x:v>
      </x:c>
      <x:c r="D39" s="25" t="str">
        <x:v>“发盘的法律性质与解释”可用于识别、预防或处理“发盘有效期模糊或缺失”。</x:v>
      </x:c>
      <x:c r="E39" s="26" t="str">
        <x:v>Explains the legal effect of silence on duration.</x:v>
      </x:c>
    </x:row>
    <x:row r="40">
      <x:c r="A40" s="24" t="str">
        <x:v>P2.02</x:v>
      </x:c>
      <x:c r="B40" s="25" t="str">
        <x:v>REQUIRES_RESOURCE</x:v>
      </x:c>
      <x:c r="C40" s="25" t="str">
        <x:v>K019</x:v>
      </x:c>
      <x:c r="D40" s="25" t="str">
        <x:v>“发盘函结构”可用于识别、预防或处理“发盘有效期模糊或缺失”。</x:v>
      </x:c>
      <x:c r="E40" s="26" t="str">
        <x:v>Puts validity in a numbered field of the offer letter.</x:v>
      </x:c>
    </x:row>
    <x:row r="41">
      <x:c r="A41" s="24" t="str">
        <x:v>P2.02</x:v>
      </x:c>
      <x:c r="B41" s="25" t="str">
        <x:v>REQUIRES_RESOURCE</x:v>
      </x:c>
      <x:c r="C41" s="25" t="str">
        <x:v>K022</x:v>
      </x:c>
      <x:c r="D41" s="25" t="str">
        <x:v>“发盘的撤回与修改”可用于识别、预防或处理“发盘有效期模糊或缺失”。</x:v>
      </x:c>
      <x:c r="E41" s="26" t="str">
        <x:v>Controls revocation inside and outside the stated period.</x:v>
      </x:c>
    </x:row>
    <x:row r="42">
      <x:c r="A42" s="24" t="str">
        <x:v>P2.02</x:v>
      </x:c>
      <x:c r="B42" s="25" t="str">
        <x:v>REQUIRES_RESOURCE</x:v>
      </x:c>
      <x:c r="C42" s="25" t="str">
        <x:v>K024</x:v>
      </x:c>
      <x:c r="D42" s="25" t="str">
        <x:v>“发盘风险管理”可用于识别、预防或处理“发盘有效期模糊或缺失”。</x:v>
      </x:c>
      <x:c r="E42" s="26" t="str">
        <x:v>Treats an open-ended firm offer as an unpriced option you are giving away.</x:v>
      </x:c>
    </x:row>
    <x:row r="43">
      <x:c r="A43" s="24" t="str">
        <x:v>P2.03</x:v>
      </x:c>
      <x:c r="B43" s="25" t="str">
        <x:v>REQUIRES_RESOURCE</x:v>
      </x:c>
      <x:c r="C43" s="25" t="str">
        <x:v>K016</x:v>
      </x:c>
      <x:c r="D43" s="25" t="str">
        <x:v>“FOB 条件”可用于识别、预防或处理“FOB/CIF 混淆成本”。</x:v>
      </x:c>
      <x:c r="E43" s="26" t="str">
        <x:v>Restates what FOB actually includes so freight is not 'forgotten'.</x:v>
      </x:c>
    </x:row>
    <x:row r="44">
      <x:c r="A44" s="24" t="str">
        <x:v>P2.03</x:v>
      </x:c>
      <x:c r="B44" s="25" t="str">
        <x:v>REQUIRES_RESOURCE</x:v>
      </x:c>
      <x:c r="C44" s="25" t="str">
        <x:v>K017</x:v>
      </x:c>
      <x:c r="D44" s="25" t="str">
        <x:v>“CIF 条件”可用于识别、预防或处理“FOB/CIF 混淆成本”。</x:v>
      </x:c>
      <x:c r="E44" s="26" t="str">
        <x:v>Restates what CIF includes, including the minimum-cover trap.</x:v>
      </x:c>
    </x:row>
    <x:row r="45">
      <x:c r="A45" s="24" t="str">
        <x:v>P2.03</x:v>
      </x:c>
      <x:c r="B45" s="25" t="str">
        <x:v>REQUIRES_RESOURCE</x:v>
      </x:c>
      <x:c r="C45" s="25" t="str">
        <x:v>K021</x:v>
      </x:c>
      <x:c r="D45" s="25" t="str">
        <x:v>“定价因素分析”可用于识别、预防或处理“FOB/CIF 混淆成本”。</x:v>
      </x:c>
      <x:c r="E45" s="26" t="str">
        <x:v>Rebuilds the price from cost layers so the two terms become comparable.</x:v>
      </x:c>
    </x:row>
    <x:row r="46">
      <x:c r="A46" s="24" t="str">
        <x:v>P2.03</x:v>
      </x:c>
      <x:c r="B46" s="25" t="str">
        <x:v>REQUIRES_RESOURCE</x:v>
      </x:c>
      <x:c r="C46" s="25" t="str">
        <x:v>K024</x:v>
      </x:c>
      <x:c r="D46" s="25" t="str">
        <x:v>“发盘风险管理”可用于识别、预防或处理“FOB/CIF 混淆成本”。</x:v>
      </x:c>
      <x:c r="E46" s="26" t="str">
        <x:v>Flags the risk of quoting the wrong term against your real cost.</x:v>
      </x:c>
    </x:row>
    <x:row r="47">
      <x:c r="A47" s="24" t="str">
        <x:v>P2.03</x:v>
      </x:c>
      <x:c r="B47" s="25" t="str">
        <x:v>REQUIRES_RESOURCE</x:v>
      </x:c>
      <x:c r="C47" s="25" t="str">
        <x:v>K019</x:v>
      </x:c>
      <x:c r="D47" s="25" t="str">
        <x:v>“发盘函结构”可用于识别、预防或处理“FOB/CIF 混淆成本”。</x:v>
      </x:c>
      <x:c r="E47" s="26" t="str">
        <x:v>Forces Incoterm + named place into the offer layout.</x:v>
      </x:c>
    </x:row>
    <x:row r="48">
      <x:c r="A48" s="24" t="str">
        <x:v>P2.04</x:v>
      </x:c>
      <x:c r="B48" s="25" t="str">
        <x:v>REQUIRES_STRATEGY</x:v>
      </x:c>
      <x:c r="C48" s="25" t="str">
        <x:v>K018</x:v>
      </x:c>
      <x:c r="D48" s="25" t="str">
        <x:v>运用“价格锚定策略”应对“极端价格锚定”，把原则转化为可执行的谈判行动。</x:v>
      </x:c>
      <x:c r="E48" s="26" t="str">
        <x:v>Names the tactic and how to set or defuse an extreme first number.</x:v>
      </x:c>
    </x:row>
    <x:row r="49">
      <x:c r="A49" s="24" t="str">
        <x:v>P2.04</x:v>
      </x:c>
      <x:c r="B49" s="25" t="str">
        <x:v>REQUIRES_RESOURCE</x:v>
      </x:c>
      <x:c r="C49" s="25" t="str">
        <x:v>K021</x:v>
      </x:c>
      <x:c r="D49" s="25" t="str">
        <x:v>“定价因素分析”可用于识别、预防或处理“极端价格锚定”。</x:v>
      </x:c>
      <x:c r="E49" s="26" t="str">
        <x:v>Answers an extreme anchor with a cost-based counter-anchor.</x:v>
      </x:c>
    </x:row>
    <x:row r="50">
      <x:c r="A50" s="24" t="str">
        <x:v>P2.04</x:v>
      </x:c>
      <x:c r="B50" s="25" t="str">
        <x:v>REQUIRES_STRATEGY</x:v>
      </x:c>
      <x:c r="C50" s="25" t="str">
        <x:v>K025</x:v>
      </x:c>
      <x:c r="D50" s="25" t="str">
        <x:v>运用“发盘谈判与心理策略”应对“极端价格锚定”，把原则转化为可执行的谈判行动。</x:v>
      </x:c>
      <x:c r="E50" s="26" t="str">
        <x:v>Uses packaging and justification instead of splitting the difference.</x:v>
      </x:c>
    </x:row>
    <x:row r="51">
      <x:c r="A51" s="24" t="str">
        <x:v>P2.04</x:v>
      </x:c>
      <x:c r="B51" s="25" t="str">
        <x:v>REQUIRES_STRATEGY</x:v>
      </x:c>
      <x:c r="C51" s="25" t="str">
        <x:v>K012</x:v>
      </x:c>
      <x:c r="D51" s="25" t="str">
        <x:v>运用“询盘阶段价格谈判”应对“极端价格锚定”，把原则转化为可执行的谈判行动。</x:v>
      </x:c>
      <x:c r="E51" s="26" t="str">
        <x:v>Connects the opening number back to what was already signalled at inquiry.</x:v>
      </x:c>
    </x:row>
    <x:row r="52">
      <x:c r="A52" s="24" t="str">
        <x:v>P2.05</x:v>
      </x:c>
      <x:c r="B52" s="25" t="str">
        <x:v>REQUIRES_RESOURCE</x:v>
      </x:c>
      <x:c r="C52" s="25" t="str">
        <x:v>K023</x:v>
      </x:c>
      <x:c r="D52" s="25" t="str">
        <x:v>“附条件与限制性发盘”可用于识别、预防或处理“附条件发盘暗藏陷阱”。</x:v>
      </x:c>
      <x:c r="E52" s="26" t="str">
        <x:v>Catalogues legitimate vs stacked conditions.</x:v>
      </x:c>
    </x:row>
    <x:row r="53">
      <x:c r="A53" s="24" t="str">
        <x:v>P2.05</x:v>
      </x:c>
      <x:c r="B53" s="25" t="str">
        <x:v>REQUIRES_RESOURCE</x:v>
      </x:c>
      <x:c r="C53" s="25" t="str">
        <x:v>K014</x:v>
      </x:c>
      <x:c r="D53" s="25" t="str">
        <x:v>“发盘的法律性质与解释”可用于识别、预防或处理“附条件发盘暗藏陷阱”。</x:v>
      </x:c>
      <x:c r="E53" s="26" t="str">
        <x:v>Tests whether the condition leaves any definite offer at all.</x:v>
      </x:c>
    </x:row>
    <x:row r="54">
      <x:c r="A54" s="24" t="str">
        <x:v>P2.05</x:v>
      </x:c>
      <x:c r="B54" s="25" t="str">
        <x:v>REQUIRES_RESOURCE</x:v>
      </x:c>
      <x:c r="C54" s="25" t="str">
        <x:v>K024</x:v>
      </x:c>
      <x:c r="D54" s="25" t="str">
        <x:v>“发盘风险管理”可用于识别、预防或处理“附条件发盘暗藏陷阱”。</x:v>
      </x:c>
      <x:c r="E54" s="26" t="str">
        <x:v>Prices the condition (licence, stock) as a risk, not as fine print.</x:v>
      </x:c>
    </x:row>
    <x:row r="55">
      <x:c r="A55" s="24" t="str">
        <x:v>P2.05</x:v>
      </x:c>
      <x:c r="B55" s="25" t="str">
        <x:v>REQUIRES_RESOURCE</x:v>
      </x:c>
      <x:c r="C55" s="25" t="str">
        <x:v>K019</x:v>
      </x:c>
      <x:c r="D55" s="25" t="str">
        <x:v>“发盘函结构”可用于识别、预防或处理“附条件发盘暗藏陷阱”。</x:v>
      </x:c>
      <x:c r="E55" s="26" t="str">
        <x:v>Puts every condition in a labelled clause, not in a footnote.</x:v>
      </x:c>
    </x:row>
    <x:row r="56">
      <x:c r="A56" s="24" t="str">
        <x:v>P2.06</x:v>
      </x:c>
      <x:c r="B56" s="25" t="str">
        <x:v>REQUIRES_RESOURCE</x:v>
      </x:c>
      <x:c r="C56" s="25" t="str">
        <x:v>K022</x:v>
      </x:c>
      <x:c r="D56" s="25" t="str">
        <x:v>“发盘的撤回与修改”可用于识别、预防或处理“生效后撤回发盘”。</x:v>
      </x:c>
      <x:c r="E56" s="26" t="str">
        <x:v>States when withdrawal is still possible and when it is too late.</x:v>
      </x:c>
    </x:row>
    <x:row r="57">
      <x:c r="A57" s="24" t="str">
        <x:v>P2.06</x:v>
      </x:c>
      <x:c r="B57" s="25" t="str">
        <x:v>REQUIRES_RESOURCE</x:v>
      </x:c>
      <x:c r="C57" s="25" t="str">
        <x:v>K014</x:v>
      </x:c>
      <x:c r="D57" s="25" t="str">
        <x:v>“发盘的法律性质与解释”可用于识别、预防或处理“生效后撤回发盘”。</x:v>
      </x:c>
      <x:c r="E57" s="26" t="str">
        <x:v>Supplies the interpretation rules for irrevocability.</x:v>
      </x:c>
    </x:row>
    <x:row r="58">
      <x:c r="A58" s="24" t="str">
        <x:v>P2.06</x:v>
      </x:c>
      <x:c r="B58" s="25" t="str">
        <x:v>REQUIRES_RESOURCE</x:v>
      </x:c>
      <x:c r="C58" s="25" t="str">
        <x:v>K015</x:v>
      </x:c>
      <x:c r="D58" s="25" t="str">
        <x:v>“发盘有效期”可用于识别、预防或处理“生效后撤回发盘”。</x:v>
      </x:c>
      <x:c r="E58" s="26" t="str">
        <x:v>Uses the validity period as the bright line.</x:v>
      </x:c>
    </x:row>
    <x:row r="59">
      <x:c r="A59" s="24" t="str">
        <x:v>P2.06</x:v>
      </x:c>
      <x:c r="B59" s="25" t="str">
        <x:v>REQUIRES_RESOURCE</x:v>
      </x:c>
      <x:c r="C59" s="25" t="str">
        <x:v>K013</x:v>
      </x:c>
      <x:c r="D59" s="25" t="str">
        <x:v>“发盘的定义”可用于识别、预防或处理“生效后撤回发盘”。</x:v>
      </x:c>
      <x:c r="E59" s="26" t="str">
        <x:v>First asks whether a true offer ever existed.</x:v>
      </x:c>
    </x:row>
    <x:row r="60">
      <x:c r="A60" s="24" t="str">
        <x:v>P2.07</x:v>
      </x:c>
      <x:c r="B60" s="25" t="str">
        <x:v>REQUIRES_RESOURCE</x:v>
      </x:c>
      <x:c r="C60" s="25" t="str">
        <x:v>K013</x:v>
      </x:c>
      <x:c r="D60" s="25" t="str">
        <x:v>“发盘的定义”可用于识别、预防或处理“发盘缺少主要条款”。</x:v>
      </x:c>
      <x:c r="E60" s="26" t="str">
        <x:v>Tests the definition: without essential terms there is no offer.</x:v>
      </x:c>
    </x:row>
    <x:row r="61">
      <x:c r="A61" s="24" t="str">
        <x:v>P2.07</x:v>
      </x:c>
      <x:c r="B61" s="25" t="str">
        <x:v>REQUIRES_RESOURCE</x:v>
      </x:c>
      <x:c r="C61" s="25" t="str">
        <x:v>K014</x:v>
      </x:c>
      <x:c r="D61" s="25" t="str">
        <x:v>“发盘的法律性质与解释”可用于识别、预防或处理“发盘缺少主要条款”。</x:v>
      </x:c>
      <x:c r="E61" s="26" t="str">
        <x:v>Applies the 'sufficiently definite' test.</x:v>
      </x:c>
    </x:row>
    <x:row r="62">
      <x:c r="A62" s="24" t="str">
        <x:v>P2.07</x:v>
      </x:c>
      <x:c r="B62" s="25" t="str">
        <x:v>REQUIRES_RESOURCE</x:v>
      </x:c>
      <x:c r="C62" s="25" t="str">
        <x:v>K019</x:v>
      </x:c>
      <x:c r="D62" s="25" t="str">
        <x:v>“发盘函结构”可用于识别、预防或处理“发盘缺少主要条款”。</x:v>
      </x:c>
      <x:c r="E62" s="26" t="str">
        <x:v>Provides the field checklist that makes an offer complete.</x:v>
      </x:c>
    </x:row>
    <x:row r="63">
      <x:c r="A63" s="24" t="str">
        <x:v>P2.07</x:v>
      </x:c>
      <x:c r="B63" s="25" t="str">
        <x:v>REQUIRES_RESOURCE</x:v>
      </x:c>
      <x:c r="C63" s="25" t="str">
        <x:v>K021</x:v>
      </x:c>
      <x:c r="D63" s="25" t="str">
        <x:v>“定价因素分析”可用于识别、预防或处理“发盘缺少主要条款”。</x:v>
      </x:c>
      <x:c r="E63" s="26" t="str">
        <x:v>Forces missing price-related terms (packing, freight) into the open.</x:v>
      </x:c>
    </x:row>
    <x:row r="64">
      <x:c r="A64" s="24" t="str">
        <x:v>P2.07</x:v>
      </x:c>
      <x:c r="B64" s="25" t="str">
        <x:v>REQUIRES_RESOURCE</x:v>
      </x:c>
      <x:c r="C64" s="25" t="str">
        <x:v>K047</x:v>
      </x:c>
      <x:c r="D64" s="25" t="str">
        <x:v>“买卖合同的成立与条款”可用于识别、预防或处理“发盘缺少主要条款”。</x:v>
      </x:c>
      <x:c r="E64" s="26" t="str">
        <x:v>Shows which terms will later be needed for a valid contract.</x:v>
      </x:c>
    </x:row>
    <x:row r="65">
      <x:c r="A65" s="24" t="str">
        <x:v>P3.01</x:v>
      </x:c>
      <x:c r="B65" s="25" t="str">
        <x:v>REQUIRES_STRATEGY</x:v>
      </x:c>
      <x:c r="C65" s="25" t="str">
        <x:v>K037</x:v>
      </x:c>
      <x:c r="D65" s="25" t="str">
        <x:v>运用“还盘僵局处理”应对“反复还盘陷入僵局”，把原则转化为可执行的谈判行动。</x:v>
      </x:c>
      <x:c r="E65" s="26" t="str">
        <x:v>Changes the package instead of grinding the same number.</x:v>
      </x:c>
    </x:row>
    <x:row r="66">
      <x:c r="A66" s="24" t="str">
        <x:v>P3.01</x:v>
      </x:c>
      <x:c r="B66" s="25" t="str">
        <x:v>REQUIRES_STRATEGY</x:v>
      </x:c>
      <x:c r="C66" s="25" t="str">
        <x:v>K029</x:v>
      </x:c>
      <x:c r="D66" s="25" t="str">
        <x:v>运用“以退为进策略”应对“反复还盘陷入僵局”，把原则转化为可执行的谈判行动。</x:v>
      </x:c>
      <x:c r="E66" s="26" t="str">
        <x:v>Uses a low-cost retreat to reopen a high-value item.</x:v>
      </x:c>
    </x:row>
    <x:row r="67">
      <x:c r="A67" s="24" t="str">
        <x:v>P3.01</x:v>
      </x:c>
      <x:c r="B67" s="25" t="str">
        <x:v>REQUIRES_STRATEGY</x:v>
      </x:c>
      <x:c r="C67" s="25" t="str">
        <x:v>K030</x:v>
      </x:c>
      <x:c r="D67" s="25" t="str">
        <x:v>运用“互惠让步策略”应对“反复还盘陷入僵局”，把原则转化为可执行的谈判行动。</x:v>
      </x:c>
      <x:c r="E67" s="26" t="str">
        <x:v>Restores two-way movement so the loop can end.</x:v>
      </x:c>
    </x:row>
    <x:row r="68">
      <x:c r="A68" s="24" t="str">
        <x:v>P3.01</x:v>
      </x:c>
      <x:c r="B68" s="25" t="str">
        <x:v>REQUIRES_STRATEGY</x:v>
      </x:c>
      <x:c r="C68" s="25" t="str">
        <x:v>K031</x:v>
      </x:c>
      <x:c r="D68" s="25" t="str">
        <x:v>运用“四阶段让步策略”应对“反复还盘陷入僵局”，把原则转化为可执行的谈判行动。</x:v>
      </x:c>
      <x:c r="E68" s="26" t="str">
        <x:v>Signals the floor with decreasing concession steps.</x:v>
      </x:c>
    </x:row>
    <x:row r="69">
      <x:c r="A69" s="24" t="str">
        <x:v>P3.01</x:v>
      </x:c>
      <x:c r="B69" s="25" t="str">
        <x:v>REQUIRES_STRATEGY</x:v>
      </x:c>
      <x:c r="C69" s="25" t="str">
        <x:v>K035</x:v>
      </x:c>
      <x:c r="D69" s="25" t="str">
        <x:v>运用“还盘机会评估”应对“反复还盘陷入僵局”，把原则转化为可执行的谈判行动。</x:v>
      </x:c>
      <x:c r="E69" s="26" t="str">
        <x:v>Asks whether this is still a counter-offer opportunity or a walk-away.</x:v>
      </x:c>
    </x:row>
    <x:row r="70">
      <x:c r="A70" s="24" t="str">
        <x:v>P3.01</x:v>
      </x:c>
      <x:c r="B70" s="25" t="str">
        <x:v>REQUIRES_STRATEGY</x:v>
      </x:c>
      <x:c r="C70" s="25" t="str">
        <x:v>K069</x:v>
      </x:c>
      <x:c r="D70" s="25" t="str">
        <x:v>运用“付款方式僵局处理”应对“反复还盘陷入僵局”，把原则转化为可执行的谈判行动。</x:v>
      </x:c>
      <x:c r="E70" s="26" t="str">
        <x:v>If the loop is about payment, switches to payment-deadlock tools.</x:v>
      </x:c>
    </x:row>
    <x:row r="71">
      <x:c r="A71" s="24" t="str">
        <x:v>P3.02</x:v>
      </x:c>
      <x:c r="B71" s="25" t="str">
        <x:v>REQUIRES_RESOURCE</x:v>
      </x:c>
      <x:c r="C71" s="25" t="str">
        <x:v>K026</x:v>
      </x:c>
      <x:c r="D71" s="25" t="str">
        <x:v>“还盘的法律性质与解释”可用于识别、预防或处理“还盘使原发盘失效”。</x:v>
      </x:c>
      <x:c r="E71" s="26" t="str">
        <x:v>States the legal effect: a material counter-offer kills the original.</x:v>
      </x:c>
    </x:row>
    <x:row r="72">
      <x:c r="A72" s="24" t="str">
        <x:v>P3.02</x:v>
      </x:c>
      <x:c r="B72" s="25" t="str">
        <x:v>REQUIRES_RESOURCE</x:v>
      </x:c>
      <x:c r="C72" s="25" t="str">
        <x:v>K027</x:v>
      </x:c>
      <x:c r="D72" s="25" t="str">
        <x:v>“还盘后的权利义务转移”可用于识别、预防或处理“还盘使原发盘失效”。</x:v>
      </x:c>
      <x:c r="E72" s="26" t="str">
        <x:v>Shows who now holds the power of acceptance.</x:v>
      </x:c>
    </x:row>
    <x:row r="73">
      <x:c r="A73" s="24" t="str">
        <x:v>P3.02</x:v>
      </x:c>
      <x:c r="B73" s="25" t="str">
        <x:v>REQUIRES_RESOURCE</x:v>
      </x:c>
      <x:c r="C73" s="25" t="str">
        <x:v>K028</x:v>
      </x:c>
      <x:c r="D73" s="25" t="str">
        <x:v>“还盘流程逻辑”可用于识别、预防或处理“还盘使原发盘失效”。</x:v>
      </x:c>
      <x:c r="E73" s="26" t="str">
        <x:v>Keeps a live-offer log so the fallback is not assumed.</x:v>
      </x:c>
    </x:row>
    <x:row r="74">
      <x:c r="A74" s="24" t="str">
        <x:v>P3.02</x:v>
      </x:c>
      <x:c r="B74" s="25" t="str">
        <x:v>REQUIRES_RESOURCE</x:v>
      </x:c>
      <x:c r="C74" s="25" t="str">
        <x:v>K033</x:v>
      </x:c>
      <x:c r="D74" s="25" t="str">
        <x:v>“还盘风险控制”可用于识别、预防或处理“还盘使原发盘失效”。</x:v>
      </x:c>
      <x:c r="E74" s="26" t="str">
        <x:v>Stops performance against a dead version of the deal.</x:v>
      </x:c>
    </x:row>
    <x:row r="75">
      <x:c r="A75" s="24" t="str">
        <x:v>P3.02</x:v>
      </x:c>
      <x:c r="B75" s="25" t="str">
        <x:v>REQUIRES_RESOURCE</x:v>
      </x:c>
      <x:c r="C75" s="25" t="str">
        <x:v>K032</x:v>
      </x:c>
      <x:c r="D75" s="25" t="str">
        <x:v>“还盘函结构、语言与礼仪”可用于识别、预防或处理“还盘使原发盘失效”。</x:v>
      </x:c>
      <x:c r="E75" s="26" t="str">
        <x:v>Wording can reserve 'without prejudice to your original offer' if that is the intent.</x:v>
      </x:c>
    </x:row>
    <x:row r="76">
      <x:c r="A76" s="24" t="str">
        <x:v>P3.03</x:v>
      </x:c>
      <x:c r="B76" s="25" t="str">
        <x:v>REQUIRES_RESOURCE</x:v>
      </x:c>
      <x:c r="C76" s="25" t="str">
        <x:v>K034</x:v>
      </x:c>
      <x:c r="D76" s="25" t="str">
        <x:v>“还盘、沉默与默示接受”可用于识别、预防或处理“沉默或行为被视为接受”。</x:v>
      </x:c>
      <x:c r="E76" s="26" t="str">
        <x:v>States the default: silence is not acceptance; conduct may be.</x:v>
      </x:c>
    </x:row>
    <x:row r="77">
      <x:c r="A77" s="24" t="str">
        <x:v>P3.03</x:v>
      </x:c>
      <x:c r="B77" s="25" t="str">
        <x:v>REQUIRES_RESOURCE</x:v>
      </x:c>
      <x:c r="C77" s="25" t="str">
        <x:v>K026</x:v>
      </x:c>
      <x:c r="D77" s="25" t="str">
        <x:v>“还盘的法律性质与解释”可用于识别、预防或处理“沉默或行为被视为接受”。</x:v>
      </x:c>
      <x:c r="E77" s="26" t="str">
        <x:v>Separates a counter-offer sitting unanswered from an accepted contract.</x:v>
      </x:c>
    </x:row>
    <x:row r="78">
      <x:c r="A78" s="24" t="str">
        <x:v>P3.03</x:v>
      </x:c>
      <x:c r="B78" s="25" t="str">
        <x:v>REQUIRES_RESOURCE</x:v>
      </x:c>
      <x:c r="C78" s="25" t="str">
        <x:v>K033</x:v>
      </x:c>
      <x:c r="D78" s="25" t="str">
        <x:v>“还盘风险控制”可用于识别、预防或处理“沉默或行为被视为接受”。</x:v>
      </x:c>
      <x:c r="E78" s="26" t="str">
        <x:v>Forbids shipping or paying 'to keep things moving' while terms are open.</x:v>
      </x:c>
    </x:row>
    <x:row r="79">
      <x:c r="A79" s="24" t="str">
        <x:v>P3.03</x:v>
      </x:c>
      <x:c r="B79" s="25" t="str">
        <x:v>REQUIRES_RESOURCE</x:v>
      </x:c>
      <x:c r="C79" s="25" t="str">
        <x:v>K040</x:v>
      </x:c>
      <x:c r="D79" s="25" t="str">
        <x:v>“有效接受的构成要件”可用于识别、预防或处理“沉默或行为被视为接受”。</x:v>
      </x:c>
      <x:c r="E79" s="26" t="str">
        <x:v>Recalls what a valid acceptance actually requires.</x:v>
      </x:c>
    </x:row>
    <x:row r="80">
      <x:c r="A80" s="24" t="str">
        <x:v>P3.03</x:v>
      </x:c>
      <x:c r="B80" s="25" t="str">
        <x:v>REQUIRES_RESOURCE</x:v>
      </x:c>
      <x:c r="C80" s="25" t="str">
        <x:v>K045</x:v>
      </x:c>
      <x:c r="D80" s="25" t="str">
        <x:v>“接受与订货的跨文化差异”可用于识别、预防或处理“沉默或行为被视为接受”。</x:v>
      </x:c>
      <x:c r="E80" s="26" t="str">
        <x:v>Flags cultures where silence is polite, not assent.</x:v>
      </x:c>
    </x:row>
    <x:row r="81">
      <x:c r="A81" s="24" t="str">
        <x:v>P3.04</x:v>
      </x:c>
      <x:c r="B81" s="25" t="str">
        <x:v>REQUIRES_STRATEGY</x:v>
      </x:c>
      <x:c r="C81" s="25" t="str">
        <x:v>K030</x:v>
      </x:c>
      <x:c r="D81" s="25" t="str">
        <x:v>运用“互惠让步策略”应对“单方面持续让步”，把原则转化为可执行的谈判行动。</x:v>
      </x:c>
      <x:c r="E81" s="26" t="str">
        <x:v>Installs reciprocity as a rule of the table.</x:v>
      </x:c>
    </x:row>
    <x:row r="82">
      <x:c r="A82" s="24" t="str">
        <x:v>P3.04</x:v>
      </x:c>
      <x:c r="B82" s="25" t="str">
        <x:v>REQUIRES_STRATEGY</x:v>
      </x:c>
      <x:c r="C82" s="25" t="str">
        <x:v>K031</x:v>
      </x:c>
      <x:c r="D82" s="25" t="str">
        <x:v>运用“四阶段让步策略”应对“单方面持续让步”，把原则转化为可执行的谈判行动。</x:v>
      </x:c>
      <x:c r="E82" s="26" t="str">
        <x:v>Stops large early concessions that teach the other side to wait.</x:v>
      </x:c>
    </x:row>
    <x:row r="83">
      <x:c r="A83" s="24" t="str">
        <x:v>P3.04</x:v>
      </x:c>
      <x:c r="B83" s="25" t="str">
        <x:v>REQUIRES_STRATEGY</x:v>
      </x:c>
      <x:c r="C83" s="25" t="str">
        <x:v>K038</x:v>
      </x:c>
      <x:c r="D83" s="25" t="str">
        <x:v>运用“还盘后的磋商技巧”应对“单方面持续让步”，把原则转化为可执行的谈判行动。</x:v>
      </x:c>
      <x:c r="E83" s="26" t="str">
        <x:v>Packages remaining trades after the first counter.</x:v>
      </x:c>
    </x:row>
    <x:row r="84">
      <x:c r="A84" s="24" t="str">
        <x:v>P3.04</x:v>
      </x:c>
      <x:c r="B84" s="25" t="str">
        <x:v>REQUIRES_STRATEGY</x:v>
      </x:c>
      <x:c r="C84" s="25" t="str">
        <x:v>K029</x:v>
      </x:c>
      <x:c r="D84" s="25" t="str">
        <x:v>运用“以退为进策略”应对“单方面持续让步”，把原则转化为可执行的谈判行动。</x:v>
      </x:c>
      <x:c r="E84" s="26" t="str">
        <x:v>Makes any retreat conditional on an advance.</x:v>
      </x:c>
    </x:row>
    <x:row r="85">
      <x:c r="A85" s="24" t="str">
        <x:v>P3.05</x:v>
      </x:c>
      <x:c r="B85" s="25" t="str">
        <x:v>REQUIRES_STRATEGY</x:v>
      </x:c>
      <x:c r="C85" s="25" t="str">
        <x:v>K036</x:v>
      </x:c>
      <x:c r="D85" s="25" t="str">
        <x:v>运用“还盘心理与保全面子策略”应对“威胁对方面子的谈判”，把原则转化为可执行的谈判行动。</x:v>
      </x:c>
      <x:c r="E85" s="26" t="str">
        <x:v>Gives a dignified off-ramp instead of a public no.</x:v>
      </x:c>
    </x:row>
    <x:row r="86">
      <x:c r="A86" s="24" t="str">
        <x:v>P3.05</x:v>
      </x:c>
      <x:c r="B86" s="25" t="str">
        <x:v>REQUIRES_RESOURCE</x:v>
      </x:c>
      <x:c r="C86" s="25" t="str">
        <x:v>K032</x:v>
      </x:c>
      <x:c r="D86" s="25" t="str">
        <x:v>“还盘函结构、语言与礼仪”可用于识别、预防或处理“威胁对方面子的谈判”。</x:v>
      </x:c>
      <x:c r="E86" s="26" t="str">
        <x:v>Supplies face-saving letter language.</x:v>
      </x:c>
    </x:row>
    <x:row r="87">
      <x:c r="A87" s="24" t="str">
        <x:v>P3.05</x:v>
      </x:c>
      <x:c r="B87" s="25" t="str">
        <x:v>REQUIRES_RESOURCE</x:v>
      </x:c>
      <x:c r="C87" s="25" t="str">
        <x:v>K007</x:v>
      </x:c>
      <x:c r="D87" s="25" t="str">
        <x:v>“询盘礼仪与跨文化差异”可用于识别、预防或处理“威胁对方面子的谈判”。</x:v>
      </x:c>
      <x:c r="E87" s="26" t="str">
        <x:v>Connects first-contact etiquette to later bargaining tone.</x:v>
      </x:c>
    </x:row>
    <x:row r="88">
      <x:c r="A88" s="24" t="str">
        <x:v>P3.05</x:v>
      </x:c>
      <x:c r="B88" s="25" t="str">
        <x:v>REQUIRES_RESOURCE</x:v>
      </x:c>
      <x:c r="C88" s="25" t="str">
        <x:v>K100</x:v>
      </x:c>
      <x:c r="D88" s="25" t="str">
        <x:v>“保险与仲裁的跨文化差异”可用于识别、预防或处理“威胁对方面子的谈判”。</x:v>
      </x:c>
      <x:c r="E88" s="26" t="str">
        <x:v>Prepares the same face logic for later dispute clauses.</x:v>
      </x:c>
    </x:row>
    <x:row r="89">
      <x:c r="A89" s="24" t="str">
        <x:v>P3.06</x:v>
      </x:c>
      <x:c r="B89" s="25" t="str">
        <x:v>REQUIRES_RESOURCE</x:v>
      </x:c>
      <x:c r="C89" s="25" t="str">
        <x:v>K026</x:v>
      </x:c>
      <x:c r="D89" s="25" t="str">
        <x:v>“还盘的法律性质与解释”可用于识别、预防或处理“意外变更主要条款”。</x:v>
      </x:c>
      <x:c r="E89" s="26" t="str">
        <x:v>Tests whether the 'tweak' is legally a counter-offer.</x:v>
      </x:c>
    </x:row>
    <x:row r="90">
      <x:c r="A90" s="24" t="str">
        <x:v>P3.06</x:v>
      </x:c>
      <x:c r="B90" s="25" t="str">
        <x:v>REQUIRES_RESOURCE</x:v>
      </x:c>
      <x:c r="C90" s="25" t="str">
        <x:v>K041</x:v>
      </x:c>
      <x:c r="D90" s="25" t="str">
        <x:v>“接受与还盘的区分”可用于识别、预防或处理“意外变更主要条款”。</x:v>
      </x:c>
      <x:c r="E90" s="26" t="str">
        <x:v>Draws the acceptance vs counter-offer line on the same facts.</x:v>
      </x:c>
    </x:row>
    <x:row r="91">
      <x:c r="A91" s="24" t="str">
        <x:v>P3.06</x:v>
      </x:c>
      <x:c r="B91" s="25" t="str">
        <x:v>REQUIRES_RESOURCE</x:v>
      </x:c>
      <x:c r="C91" s="25" t="str">
        <x:v>K033</x:v>
      </x:c>
      <x:c r="D91" s="25" t="str">
        <x:v>“还盘风险控制”可用于识别、预防或处理“意外变更主要条款”。</x:v>
      </x:c>
      <x:c r="E91" s="26" t="str">
        <x:v>Requires a redline of every changed field before sending.</x:v>
      </x:c>
    </x:row>
    <x:row r="92">
      <x:c r="A92" s="24" t="str">
        <x:v>P3.06</x:v>
      </x:c>
      <x:c r="B92" s="25" t="str">
        <x:v>REQUIRES_RESOURCE</x:v>
      </x:c>
      <x:c r="C92" s="25" t="str">
        <x:v>K032</x:v>
      </x:c>
      <x:c r="D92" s="25" t="str">
        <x:v>“还盘函结构、语言与礼仪”可用于识别、预防或处理“意外变更主要条款”。</x:v>
      </x:c>
      <x:c r="E92" s="26" t="str">
        <x:v>Uses a change table so nothing material hides in prose.</x:v>
      </x:c>
    </x:row>
    <x:row r="93">
      <x:c r="A93" s="24" t="str">
        <x:v>P3.07</x:v>
      </x:c>
      <x:c r="B93" s="25" t="str">
        <x:v>REQUIRES_STRATEGY</x:v>
      </x:c>
      <x:c r="C93" s="25" t="str">
        <x:v>K035</x:v>
      </x:c>
      <x:c r="D93" s="25" t="str">
        <x:v>运用“还盘机会评估”应对“还盘时机或措辞不当”，把原则转化为可执行的谈判行动。</x:v>
      </x:c>
      <x:c r="E93" s="26" t="str">
        <x:v>Chooses whether and when a counter-offer is still worth making.</x:v>
      </x:c>
    </x:row>
    <x:row r="94">
      <x:c r="A94" s="24" t="str">
        <x:v>P3.07</x:v>
      </x:c>
      <x:c r="B94" s="25" t="str">
        <x:v>REQUIRES_RESOURCE</x:v>
      </x:c>
      <x:c r="C94" s="25" t="str">
        <x:v>K032</x:v>
      </x:c>
      <x:c r="D94" s="25" t="str">
        <x:v>“还盘函结构、语言与礼仪”可用于识别、预防或处理“还盘时机或措辞不当”。</x:v>
      </x:c>
      <x:c r="E94" s="26" t="str">
        <x:v>Corrects structure, tone, and reply-by date.</x:v>
      </x:c>
    </x:row>
    <x:row r="95">
      <x:c r="A95" s="24" t="str">
        <x:v>P3.07</x:v>
      </x:c>
      <x:c r="B95" s="25" t="str">
        <x:v>REQUIRES_STRATEGY</x:v>
      </x:c>
      <x:c r="C95" s="25" t="str">
        <x:v>K038</x:v>
      </x:c>
      <x:c r="D95" s="25" t="str">
        <x:v>运用“还盘后的磋商技巧”应对“还盘时机或措辞不当”，把原则转化为可执行的谈判行动。</x:v>
      </x:c>
      <x:c r="E95" s="26" t="str">
        <x:v>Once sent, bargains in packages rather than in angry fragments.</x:v>
      </x:c>
    </x:row>
    <x:row r="96">
      <x:c r="A96" s="24" t="str">
        <x:v>P3.07</x:v>
      </x:c>
      <x:c r="B96" s="25" t="str">
        <x:v>REQUIRES_RESOURCE</x:v>
      </x:c>
      <x:c r="C96" s="25" t="str">
        <x:v>K015</x:v>
      </x:c>
      <x:c r="D96" s="25" t="str">
        <x:v>“发盘有效期”可用于识别、预防或处理“还盘时机或措辞不当”。</x:v>
      </x:c>
      <x:c r="E96" s="26" t="str">
        <x:v>Respects the original validity window so the counter is not late.</x:v>
      </x:c>
    </x:row>
    <x:row r="97">
      <x:c r="A97" s="24" t="str">
        <x:v>P4.01</x:v>
      </x:c>
      <x:c r="B97" s="25" t="str">
        <x:v>REQUIRES_RESOURCE</x:v>
      </x:c>
      <x:c r="C97" s="25" t="str">
        <x:v>K042</x:v>
      </x:c>
      <x:c r="D97" s="25" t="str">
        <x:v>“逾期接受”可用于识别、预防或处理“有效期后逾期接受”。</x:v>
      </x:c>
      <x:c r="E97" s="26" t="str">
        <x:v>States the legal options: treat as new offer, or promptly honour it.</x:v>
      </x:c>
    </x:row>
    <x:row r="98">
      <x:c r="A98" s="24" t="str">
        <x:v>P4.01</x:v>
      </x:c>
      <x:c r="B98" s="25" t="str">
        <x:v>REQUIRES_RESOURCE</x:v>
      </x:c>
      <x:c r="C98" s="25" t="str">
        <x:v>K040</x:v>
      </x:c>
      <x:c r="D98" s="25" t="str">
        <x:v>“有效接受的构成要件”可用于识别、预防或处理“有效期后逾期接受”。</x:v>
      </x:c>
      <x:c r="E98" s="26" t="str">
        <x:v>Recalls that timing is an element of validity.</x:v>
      </x:c>
    </x:row>
    <x:row r="99">
      <x:c r="A99" s="24" t="str">
        <x:v>P4.01</x:v>
      </x:c>
      <x:c r="B99" s="25" t="str">
        <x:v>REQUIRES_RESOURCE</x:v>
      </x:c>
      <x:c r="C99" s="25" t="str">
        <x:v>K046</x:v>
      </x:c>
      <x:c r="D99" s="25" t="str">
        <x:v>“接受通知的方式、效力与撤回”可用于识别、预防或处理“有效期后逾期接受”。</x:v>
      </x:c>
      <x:c r="E99" s="26" t="str">
        <x:v>Checks whether a withdrawal or a transmission delay is in play.</x:v>
      </x:c>
    </x:row>
    <x:row r="100">
      <x:c r="A100" s="24" t="str">
        <x:v>P4.01</x:v>
      </x:c>
      <x:c r="B100" s="25" t="str">
        <x:v>REQUIRES_RESOURCE</x:v>
      </x:c>
      <x:c r="C100" s="25" t="str">
        <x:v>K015</x:v>
      </x:c>
      <x:c r="D100" s="25" t="str">
        <x:v>“发盘有效期”可用于识别、预防或处理“有效期后逾期接受”。</x:v>
      </x:c>
      <x:c r="E100" s="26" t="str">
        <x:v>Uses the stated validity period as the clock.</x:v>
      </x:c>
    </x:row>
    <x:row r="101">
      <x:c r="A101" s="24" t="str">
        <x:v>P4.02</x:v>
      </x:c>
      <x:c r="B101" s="25" t="str">
        <x:v>REQUIRES_RESOURCE</x:v>
      </x:c>
      <x:c r="C101" s="25" t="str">
        <x:v>K041</x:v>
      </x:c>
      <x:c r="D101" s="25" t="str">
        <x:v>“接受与还盘的区分”可用于识别、预防或处理“附修改的接受”。</x:v>
      </x:c>
      <x:c r="E101" s="26" t="str">
        <x:v>Reclassifies the 'yes, but' as a counter-offer.</x:v>
      </x:c>
    </x:row>
    <x:row r="102">
      <x:c r="A102" s="24" t="str">
        <x:v>P4.02</x:v>
      </x:c>
      <x:c r="B102" s="25" t="str">
        <x:v>REQUIRES_RESOURCE</x:v>
      </x:c>
      <x:c r="C102" s="25" t="str">
        <x:v>K040</x:v>
      </x:c>
      <x:c r="D102" s="25" t="str">
        <x:v>“有效接受的构成要件”可用于识别、预防或处理“附修改的接受”。</x:v>
      </x:c>
      <x:c r="E102" s="26" t="str">
        <x:v>Shows which elements of acceptance are missing.</x:v>
      </x:c>
    </x:row>
    <x:row r="103">
      <x:c r="A103" s="24" t="str">
        <x:v>P4.02</x:v>
      </x:c>
      <x:c r="B103" s="25" t="str">
        <x:v>REQUIRES_RESOURCE</x:v>
      </x:c>
      <x:c r="C103" s="25" t="str">
        <x:v>K039</x:v>
      </x:c>
      <x:c r="D103" s="25" t="str">
        <x:v>“接受的定义”可用于识别、预防或处理“附修改的接受”。</x:v>
      </x:c>
      <x:c r="E103" s="26" t="str">
        <x:v>Returns to the definition of unconditional assent.</x:v>
      </x:c>
    </x:row>
    <x:row r="104">
      <x:c r="A104" s="24" t="str">
        <x:v>P4.02</x:v>
      </x:c>
      <x:c r="B104" s="25" t="str">
        <x:v>REQUIRES_RESOURCE</x:v>
      </x:c>
      <x:c r="C104" s="25" t="str">
        <x:v>K026</x:v>
      </x:c>
      <x:c r="D104" s="25" t="str">
        <x:v>“还盘的法律性质与解释”可用于识别、预防或处理“附修改的接受”。</x:v>
      </x:c>
      <x:c r="E104" s="26" t="str">
        <x:v>Explains the knock-on: the original offer is now dead.</x:v>
      </x:c>
    </x:row>
    <x:row r="105">
      <x:c r="A105" s="24" t="str">
        <x:v>P4.02</x:v>
      </x:c>
      <x:c r="B105" s="25" t="str">
        <x:v>REQUIRES_RESOURCE</x:v>
      </x:c>
      <x:c r="C105" s="25" t="str">
        <x:v>K043</x:v>
      </x:c>
      <x:c r="D105" s="25" t="str">
        <x:v>“订货流程与确认”可用于识别、预防或处理“附修改的接受”。</x:v>
      </x:c>
      <x:c r="E105" s="26" t="str">
        <x:v>Stops the team from issuing an order confirmation on unmatched terms.</x:v>
      </x:c>
    </x:row>
    <x:row r="106">
      <x:c r="A106" s="24" t="str">
        <x:v>P4.03</x:v>
      </x:c>
      <x:c r="B106" s="25" t="str">
        <x:v>REQUIRES_RESOURCE</x:v>
      </x:c>
      <x:c r="C106" s="25" t="str">
        <x:v>K047</x:v>
      </x:c>
      <x:c r="D106" s="25" t="str">
        <x:v>“买卖合同的成立与条款”可用于识别、预防或处理“合同是否成立发生争议”。</x:v>
      </x:c>
      <x:c r="E106" s="26" t="str">
        <x:v>Sets out when a purchase contract exists and what it contains.</x:v>
      </x:c>
    </x:row>
    <x:row r="107">
      <x:c r="A107" s="24" t="str">
        <x:v>P4.03</x:v>
      </x:c>
      <x:c r="B107" s="25" t="str">
        <x:v>REQUIRES_RESOURCE</x:v>
      </x:c>
      <x:c r="C107" s="25" t="str">
        <x:v>K040</x:v>
      </x:c>
      <x:c r="D107" s="25" t="str">
        <x:v>“有效接受的构成要件”可用于识别、预防或处理“合同是否成立发生争议”。</x:v>
      </x:c>
      <x:c r="E107" s="26" t="str">
        <x:v>Applies the elements test to the contested communication.</x:v>
      </x:c>
    </x:row>
    <x:row r="108">
      <x:c r="A108" s="24" t="str">
        <x:v>P4.03</x:v>
      </x:c>
      <x:c r="B108" s="25" t="str">
        <x:v>REQUIRES_RESOURCE</x:v>
      </x:c>
      <x:c r="C108" s="25" t="str">
        <x:v>K046</x:v>
      </x:c>
      <x:c r="D108" s="25" t="str">
        <x:v>“接受通知的方式、效力与撤回”可用于识别、预防或处理“合同是否成立发生争议”。</x:v>
      </x:c>
      <x:c r="E108" s="26" t="str">
        <x:v>Fixes the moment and medium of effective notice.</x:v>
      </x:c>
    </x:row>
    <x:row r="109">
      <x:c r="A109" s="24" t="str">
        <x:v>P4.03</x:v>
      </x:c>
      <x:c r="B109" s="25" t="str">
        <x:v>REQUIRES_RESOURCE</x:v>
      </x:c>
      <x:c r="C109" s="25" t="str">
        <x:v>K039</x:v>
      </x:c>
      <x:c r="D109" s="25" t="str">
        <x:v>“接受的定义”可用于识别、预防或处理“合同是否成立发生争议”。</x:v>
      </x:c>
      <x:c r="E109" s="26" t="str">
        <x:v>Separates commercial enthusiasm from legal assent.</x:v>
      </x:c>
    </x:row>
    <x:row r="110">
      <x:c r="A110" s="24" t="str">
        <x:v>P4.03</x:v>
      </x:c>
      <x:c r="B110" s="25" t="str">
        <x:v>REQUIRES_RESOURCE</x:v>
      </x:c>
      <x:c r="C110" s="25" t="str">
        <x:v>K034</x:v>
      </x:c>
      <x:c r="D110" s="25" t="str">
        <x:v>“还盘、沉默与默示接受”可用于识别、预防或处理“合同是否成立发生争议”。</x:v>
      </x:c>
      <x:c r="E110" s="26" t="str">
        <x:v>Rules out silence-as-formation except in the narrow cases.</x:v>
      </x:c>
    </x:row>
    <x:row r="111">
      <x:c r="A111" s="24" t="str">
        <x:v>P4.04</x:v>
      </x:c>
      <x:c r="B111" s="25" t="str">
        <x:v>REQUIRES_RESOURCE</x:v>
      </x:c>
      <x:c r="C111" s="25" t="str">
        <x:v>K044</x:v>
      </x:c>
      <x:c r="D111" s="25" t="str">
        <x:v>“订单变更、修改与取消”可用于识别、预防或处理“合同成立后取消”。</x:v>
      </x:c>
      <x:c r="E111" s="26" t="str">
        <x:v>States that post-formation cancellation is a breach unless agreed.</x:v>
      </x:c>
    </x:row>
    <x:row r="112">
      <x:c r="A112" s="24" t="str">
        <x:v>P4.04</x:v>
      </x:c>
      <x:c r="B112" s="25" t="str">
        <x:v>REQUIRES_RESOURCE</x:v>
      </x:c>
      <x:c r="C112" s="25" t="str">
        <x:v>K047</x:v>
      </x:c>
      <x:c r="D112" s="25" t="str">
        <x:v>“买卖合同的成立与条款”可用于识别、预防或处理“合同成立后取消”。</x:v>
      </x:c>
      <x:c r="E112" s="26" t="str">
        <x:v>Proves that a contract already exists.</x:v>
      </x:c>
    </x:row>
    <x:row r="113">
      <x:c r="A113" s="24" t="str">
        <x:v>P4.04</x:v>
      </x:c>
      <x:c r="B113" s="25" t="str">
        <x:v>REQUIRES_RESOURCE</x:v>
      </x:c>
      <x:c r="C113" s="25" t="str">
        <x:v>K050</x:v>
      </x:c>
      <x:c r="D113" s="25" t="str">
        <x:v>“合同免责条款”可用于识别、预防或处理“合同成立后取消”。</x:v>
      </x:c>
      <x:c r="E113" s="26" t="str">
        <x:v>Checks whether an exemption or cancellation window was written in.</x:v>
      </x:c>
    </x:row>
    <x:row r="114">
      <x:c r="A114" s="24" t="str">
        <x:v>P4.04</x:v>
      </x:c>
      <x:c r="B114" s="25" t="str">
        <x:v>REQUIRES_RESOURCE</x:v>
      </x:c>
      <x:c r="C114" s="25" t="str">
        <x:v>K074</x:v>
      </x:c>
      <x:c r="D114" s="25" t="str">
        <x:v>“交付迟延与合同违约”可用于识别、预防或处理“合同成立后取消”。</x:v>
      </x:c>
      <x:c r="E114" s="26" t="str">
        <x:v>Quantifies the breach path if the other side walks.</x:v>
      </x:c>
    </x:row>
    <x:row r="115">
      <x:c r="A115" s="24" t="str">
        <x:v>P4.05</x:v>
      </x:c>
      <x:c r="B115" s="25" t="str">
        <x:v>REQUIRES_RESOURCE</x:v>
      </x:c>
      <x:c r="C115" s="25" t="str">
        <x:v>K044</x:v>
      </x:c>
      <x:c r="D115" s="25" t="str">
        <x:v>“订单变更、修改与取消”可用于识别、预防或处理“履约中途变更订单”。</x:v>
      </x:c>
      <x:c r="E115" s="26" t="str">
        <x:v>Requires a written modification, not a chat-message change.</x:v>
      </x:c>
    </x:row>
    <x:row r="116">
      <x:c r="A116" s="24" t="str">
        <x:v>P4.05</x:v>
      </x:c>
      <x:c r="B116" s="25" t="str">
        <x:v>REQUIRES_RESOURCE</x:v>
      </x:c>
      <x:c r="C116" s="25" t="str">
        <x:v>K048</x:v>
      </x:c>
      <x:c r="D116" s="25" t="str">
        <x:v>“订单执行与履约监控”可用于识别、预防或处理“履约中途变更订单”。</x:v>
      </x:c>
      <x:c r="E116" s="26" t="str">
        <x:v>Shows where in the performance file the change hits cost and time.</x:v>
      </x:c>
    </x:row>
    <x:row r="117">
      <x:c r="A117" s="24" t="str">
        <x:v>P4.05</x:v>
      </x:c>
      <x:c r="B117" s="25" t="str">
        <x:v>REQUIRES_RESOURCE</x:v>
      </x:c>
      <x:c r="C117" s="25" t="str">
        <x:v>K047</x:v>
      </x:c>
      <x:c r="D117" s="25" t="str">
        <x:v>“买卖合同的成立与条款”可用于识别、预防或处理“履约中途变更订单”。</x:v>
      </x:c>
      <x:c r="E117" s="26" t="str">
        <x:v>Keeps the original terms in force until the modification is agreed.</x:v>
      </x:c>
    </x:row>
    <x:row r="118">
      <x:c r="A118" s="24" t="str">
        <x:v>P4.05</x:v>
      </x:c>
      <x:c r="B118" s="25" t="str">
        <x:v>REQUIRES_RESOURCE</x:v>
      </x:c>
      <x:c r="C118" s="25" t="str">
        <x:v>K049</x:v>
      </x:c>
      <x:c r="D118" s="25" t="str">
        <x:v>“订单交付日期跟踪”可用于识别、预防或处理“履约中途变更订单”。</x:v>
      </x:c>
      <x:c r="E118" s="26" t="str">
        <x:v>Rebuilds the delivery schedule around the new scope.</x:v>
      </x:c>
    </x:row>
    <x:row r="119">
      <x:c r="A119" s="24" t="str">
        <x:v>P4.06</x:v>
      </x:c>
      <x:c r="B119" s="25" t="str">
        <x:v>REQUIRES_RESOURCE</x:v>
      </x:c>
      <x:c r="C119" s="25" t="str">
        <x:v>K045</x:v>
      </x:c>
      <x:c r="D119" s="25" t="str">
        <x:v>“接受与订货的跨文化差异”可用于识别、预防或处理“跨文化语境中的非承诺性“同意””。</x:v>
      </x:c>
      <x:c r="E119" s="26" t="str">
        <x:v>Teaches that relational yes is not contractual yes.</x:v>
      </x:c>
    </x:row>
    <x:row r="120">
      <x:c r="A120" s="24" t="str">
        <x:v>P4.06</x:v>
      </x:c>
      <x:c r="B120" s="25" t="str">
        <x:v>REQUIRES_RESOURCE</x:v>
      </x:c>
      <x:c r="C120" s="25" t="str">
        <x:v>K040</x:v>
      </x:c>
      <x:c r="D120" s="25" t="str">
        <x:v>“有效接受的构成要件”可用于识别、预防或处理“跨文化语境中的非承诺性“同意””。</x:v>
      </x:c>
      <x:c r="E120" s="26" t="str">
        <x:v>Insists on the legal elements, not on hospitality.</x:v>
      </x:c>
    </x:row>
    <x:row r="121">
      <x:c r="A121" s="24" t="str">
        <x:v>P4.06</x:v>
      </x:c>
      <x:c r="B121" s="25" t="str">
        <x:v>REQUIRES_RESOURCE</x:v>
      </x:c>
      <x:c r="C121" s="25" t="str">
        <x:v>K041</x:v>
      </x:c>
      <x:c r="D121" s="25" t="str">
        <x:v>“接受与还盘的区分”可用于识别、预防或处理“跨文化语境中的非承诺性“同意””。</x:v>
      </x:c>
      <x:c r="E121" s="26" t="str">
        <x:v>Watches for a polite 'yes, with changes' that is a counter-offer.</x:v>
      </x:c>
    </x:row>
    <x:row r="122">
      <x:c r="A122" s="24" t="str">
        <x:v>P4.06</x:v>
      </x:c>
      <x:c r="B122" s="25" t="str">
        <x:v>REQUIRES_RESOURCE</x:v>
      </x:c>
      <x:c r="C122" s="25" t="str">
        <x:v>K043</x:v>
      </x:c>
      <x:c r="D122" s="25" t="str">
        <x:v>“订货流程与确认”可用于识别、预防或处理“跨文化语境中的非承诺性“同意””。</x:v>
      </x:c>
      <x:c r="E122" s="26" t="str">
        <x:v>Uses a signed confirmation as the cultural-neutral record.</x:v>
      </x:c>
    </x:row>
    <x:row r="123">
      <x:c r="A123" s="24" t="str">
        <x:v>P4.07</x:v>
      </x:c>
      <x:c r="B123" s="25" t="str">
        <x:v>REQUIRES_RESOURCE</x:v>
      </x:c>
      <x:c r="C123" s="25" t="str">
        <x:v>K049</x:v>
      </x:c>
      <x:c r="D123" s="25" t="str">
        <x:v>“订单交付日期跟踪”可用于识别、预防或处理“订货后交期持续漂移”。</x:v>
      </x:c>
      <x:c r="E123" s="26" t="str">
        <x:v>Installs backward scheduling and early-warning on the ship window.</x:v>
      </x:c>
    </x:row>
    <x:row r="124">
      <x:c r="A124" s="24" t="str">
        <x:v>P4.07</x:v>
      </x:c>
      <x:c r="B124" s="25" t="str">
        <x:v>REQUIRES_RESOURCE</x:v>
      </x:c>
      <x:c r="C124" s="25" t="str">
        <x:v>K048</x:v>
      </x:c>
      <x:c r="D124" s="25" t="str">
        <x:v>“订单执行与履约监控”可用于识别、预防或处理“订货后交期持续漂移”。</x:v>
      </x:c>
      <x:c r="E124" s="26" t="str">
        <x:v>Puts a named owner on each milestone.</x:v>
      </x:c>
    </x:row>
    <x:row r="125">
      <x:c r="A125" s="24" t="str">
        <x:v>P4.07</x:v>
      </x:c>
      <x:c r="B125" s="25" t="str">
        <x:v>REQUIRES_RESOURCE</x:v>
      </x:c>
      <x:c r="C125" s="25" t="str">
        <x:v>K051</x:v>
      </x:c>
      <x:c r="D125" s="25" t="str">
        <x:v>“质量保证与售后服务”可用于识别、预防或处理“订货后交期持续漂移”。</x:v>
      </x:c>
      <x:c r="E125" s="26" t="str">
        <x:v>Links drift to QA and after-sales promises already sold.</x:v>
      </x:c>
    </x:row>
    <x:row r="126">
      <x:c r="A126" s="24" t="str">
        <x:v>P4.07</x:v>
      </x:c>
      <x:c r="B126" s="25" t="str">
        <x:v>REQUIRES_RESOURCE</x:v>
      </x:c>
      <x:c r="C126" s="25" t="str">
        <x:v>K074</x:v>
      </x:c>
      <x:c r="D126" s="25" t="str">
        <x:v>“交付迟延与合同违约”可用于识别、预防或处理“订货后交期持续漂移”。</x:v>
      </x:c>
      <x:c r="E126" s="26" t="str">
        <x:v>Shows when drift has already become a breach.</x:v>
      </x:c>
    </x:row>
    <x:row r="127">
      <x:c r="A127" s="24" t="str">
        <x:v>P4.07</x:v>
      </x:c>
      <x:c r="B127" s="25" t="str">
        <x:v>REQUIRES_RESOURCE</x:v>
      </x:c>
      <x:c r="C127" s="25" t="str">
        <x:v>K063</x:v>
      </x:c>
      <x:c r="D127" s="25" t="str">
        <x:v>“装运时间管理”可用于识别、预防或处理“订货后交期持续漂移”。</x:v>
      </x:c>
      <x:c r="E127" s="26" t="str">
        <x:v>Connects the order date to factory and CY cut-offs.</x:v>
      </x:c>
    </x:row>
    <x:row r="128">
      <x:c r="A128" s="24" t="str">
        <x:v>P5.01</x:v>
      </x:c>
      <x:c r="B128" s="25" t="str">
        <x:v>REQUIRES_RESOURCE</x:v>
      </x:c>
      <x:c r="C128" s="25" t="str">
        <x:v>K052</x:v>
      </x:c>
      <x:c r="D128" s="25" t="str">
        <x:v>“出口包装要求”可用于识别、预防或处理“包装未通过防潮防盗或运输测试”。</x:v>
      </x:c>
      <x:c r="E128" s="26" t="str">
        <x:v>Sets the export-packing standard the retail pack does not meet.</x:v>
      </x:c>
    </x:row>
    <x:row r="129">
      <x:c r="A129" s="24" t="str">
        <x:v>P5.01</x:v>
      </x:c>
      <x:c r="B129" s="25" t="str">
        <x:v>REQUIRES_RESOURCE</x:v>
      </x:c>
      <x:c r="C129" s="25" t="str">
        <x:v>K053</x:v>
      </x:c>
      <x:c r="D129" s="25" t="str">
        <x:v>“包装材料、防潮与防盗”可用于识别、预防或处理“包装未通过防潮防盗或运输测试”。</x:v>
      </x:c>
      <x:c r="E129" s="26" t="str">
        <x:v>Specifies moisture and theft protection.</x:v>
      </x:c>
    </x:row>
    <x:row r="130">
      <x:c r="A130" s="24" t="str">
        <x:v>P5.01</x:v>
      </x:c>
      <x:c r="B130" s="25" t="str">
        <x:v>REQUIRES_RESOURCE</x:v>
      </x:c>
      <x:c r="C130" s="25" t="str">
        <x:v>K055</x:v>
      </x:c>
      <x:c r="D130" s="25" t="str">
        <x:v>“空运与海运包装差异”可用于识别、预防或处理“包装未通过防潮防盗或运输测试”。</x:v>
      </x:c>
      <x:c r="E130" s="26" t="str">
        <x:v>Matches the pack to air vs sea realities.</x:v>
      </x:c>
    </x:row>
    <x:row r="131">
      <x:c r="A131" s="24" t="str">
        <x:v>P5.01</x:v>
      </x:c>
      <x:c r="B131" s="25" t="str">
        <x:v>REQUIRES_RESOURCE</x:v>
      </x:c>
      <x:c r="C131" s="25" t="str">
        <x:v>K064</x:v>
      </x:c>
      <x:c r="D131" s="25" t="str">
        <x:v>“装运风险管理”可用于识别、预防或处理“包装未通过防潮防盗或运输测试”。</x:v>
      </x:c>
      <x:c r="E131" s="26" t="str">
        <x:v>Treats packing failure as a preventable transit risk.</x:v>
      </x:c>
    </x:row>
    <x:row r="132">
      <x:c r="A132" s="24" t="str">
        <x:v>P5.01</x:v>
      </x:c>
      <x:c r="B132" s="25" t="str">
        <x:v>REQUIRES_STRATEGY</x:v>
      </x:c>
      <x:c r="C132" s="25" t="str">
        <x:v>K061</x:v>
      </x:c>
      <x:c r="D132" s="25" t="str">
        <x:v>运用“包装成本控制”应对“包装未通过防潮防盗或运输测试”，把原则转化为可执行的谈判行动。</x:v>
      </x:c>
      <x:c r="E132" s="26" t="str">
        <x:v>Stops cost-cutting that drops the pack below insurer minimums.</x:v>
      </x:c>
    </x:row>
    <x:row r="133">
      <x:c r="A133" s="24" t="str">
        <x:v>P5.02</x:v>
      </x:c>
      <x:c r="B133" s="25" t="str">
        <x:v>REQUIRES_RESOURCE</x:v>
      </x:c>
      <x:c r="C133" s="25" t="str">
        <x:v>K056</x:v>
      </x:c>
      <x:c r="D133" s="25" t="str">
        <x:v>“包装唛头与标志”可用于识别、预防或处理“唛头错误导致货物混淆”。</x:v>
      </x:c>
      <x:c r="E133" s="26" t="str">
        <x:v>Corrects shipping marks and handling symbols.</x:v>
      </x:c>
    </x:row>
    <x:row r="134">
      <x:c r="A134" s="24" t="str">
        <x:v>P5.02</x:v>
      </x:c>
      <x:c r="B134" s="25" t="str">
        <x:v>REQUIRES_RESOURCE</x:v>
      </x:c>
      <x:c r="C134" s="25" t="str">
        <x:v>K058</x:v>
      </x:c>
      <x:c r="D134" s="25" t="str">
        <x:v>“装运通知与货物跟踪”可用于识别、预防或处理“唛头错误导致货物混淆”。</x:v>
      </x:c>
      <x:c r="E134" s="26" t="str">
        <x:v>Puts the same marks on the shipping advice so parties can match cargo.</x:v>
      </x:c>
    </x:row>
    <x:row r="135">
      <x:c r="A135" s="24" t="str">
        <x:v>P5.02</x:v>
      </x:c>
      <x:c r="B135" s="25" t="str">
        <x:v>REQUIRES_RESOURCE</x:v>
      </x:c>
      <x:c r="C135" s="25" t="str">
        <x:v>K059</x:v>
      </x:c>
      <x:c r="D135" s="25" t="str">
        <x:v>“装运中的文化敏感性”可用于识别、预防或处理“唛头错误导致货物混淆”。</x:v>
      </x:c>
      <x:c r="E135" s="26" t="str">
        <x:v>Avoids marks that are unreadable or culturally offensive.</x:v>
      </x:c>
    </x:row>
    <x:row r="136">
      <x:c r="A136" s="24" t="str">
        <x:v>P5.02</x:v>
      </x:c>
      <x:c r="B136" s="25" t="str">
        <x:v>REQUIRES_RESOURCE</x:v>
      </x:c>
      <x:c r="C136" s="25" t="str">
        <x:v>K065</x:v>
      </x:c>
      <x:c r="D136" s="25" t="str">
        <x:v>“国际运输规则、海关与港口物流”可用于识别、预防或处理“唛头错误导致货物混淆”。</x:v>
      </x:c>
      <x:c r="E136" s="26" t="str">
        <x:v>Aligns marks with B/L and customs data.</x:v>
      </x:c>
    </x:row>
    <x:row r="137">
      <x:c r="A137" s="24" t="str">
        <x:v>P5.03</x:v>
      </x:c>
      <x:c r="B137" s="25" t="str">
        <x:v>REQUIRES_RESOURCE</x:v>
      </x:c>
      <x:c r="C137" s="25" t="str">
        <x:v>K054</x:v>
      </x:c>
      <x:c r="D137" s="25" t="str">
        <x:v>“集装箱装载与货物系固”可用于识别、预防或处理“装箱与货物系固错误”。</x:v>
      </x:c>
      <x:c r="E137" s="26" t="str">
        <x:v>Applies stuffing, weight, and lashing rules.</x:v>
      </x:c>
    </x:row>
    <x:row r="138">
      <x:c r="A138" s="24" t="str">
        <x:v>P5.03</x:v>
      </x:c>
      <x:c r="B138" s="25" t="str">
        <x:v>REQUIRES_RESOURCE</x:v>
      </x:c>
      <x:c r="C138" s="25" t="str">
        <x:v>K064</x:v>
      </x:c>
      <x:c r="D138" s="25" t="str">
        <x:v>“装运风险管理”可用于识别、预防或处理“装箱与货物系固错误”。</x:v>
      </x:c>
      <x:c r="E138" s="26" t="str">
        <x:v>Treats a shifted load as a claim cause, not as bad luck.</x:v>
      </x:c>
    </x:row>
    <x:row r="139">
      <x:c r="A139" s="24" t="str">
        <x:v>P5.03</x:v>
      </x:c>
      <x:c r="B139" s="25" t="str">
        <x:v>REQUIRES_RESOURCE</x:v>
      </x:c>
      <x:c r="C139" s="25" t="str">
        <x:v>K052</x:v>
      </x:c>
      <x:c r="D139" s="25" t="str">
        <x:v>“出口包装要求”可用于识别、预防或处理“装箱与货物系固错误”。</x:v>
      </x:c>
      <x:c r="E139" s="26" t="str">
        <x:v>Checks that inner packing can survive the stuffing plan.</x:v>
      </x:c>
    </x:row>
    <x:row r="140">
      <x:c r="A140" s="24" t="str">
        <x:v>P5.03</x:v>
      </x:c>
      <x:c r="B140" s="25" t="str">
        <x:v>REQUIRES_RESOURCE</x:v>
      </x:c>
      <x:c r="C140" s="25" t="str">
        <x:v>K062</x:v>
      </x:c>
      <x:c r="D140" s="25" t="str">
        <x:v>“货运代理选择与协作”可用于识别、预防或处理“装箱与货物系固错误”。</x:v>
      </x:c>
      <x:c r="E140" s="26" t="str">
        <x:v>Makes the forwarder jointly responsible for a load plan.</x:v>
      </x:c>
    </x:row>
    <x:row r="141">
      <x:c r="A141" s="24" t="str">
        <x:v>P5.04</x:v>
      </x:c>
      <x:c r="B141" s="25" t="str">
        <x:v>REQUIRES_STRATEGY</x:v>
      </x:c>
      <x:c r="C141" s="25" t="str">
        <x:v>K057</x:v>
      </x:c>
      <x:c r="D141" s="25" t="str">
        <x:v>运用“运输方式选择”应对“运输方式错误或错过船期”，把原则转化为可执行的谈判行动。</x:v>
      </x:c>
      <x:c r="E141" s="26" t="str">
        <x:v>Re-selects mode on landed cost and season, not on freight alone.</x:v>
      </x:c>
    </x:row>
    <x:row r="142">
      <x:c r="A142" s="24" t="str">
        <x:v>P5.04</x:v>
      </x:c>
      <x:c r="B142" s="25" t="str">
        <x:v>REQUIRES_RESOURCE</x:v>
      </x:c>
      <x:c r="C142" s="25" t="str">
        <x:v>K063</x:v>
      </x:c>
      <x:c r="D142" s="25" t="str">
        <x:v>“装运时间管理”可用于识别、预防或处理“运输方式错误或错过船期”。</x:v>
      </x:c>
      <x:c r="E142" s="26" t="str">
        <x:v>Manages cut-offs so the booked vessel is actually made.</x:v>
      </x:c>
    </x:row>
    <x:row r="143">
      <x:c r="A143" s="24" t="str">
        <x:v>P5.04</x:v>
      </x:c>
      <x:c r="B143" s="25" t="str">
        <x:v>REQUIRES_RESOURCE</x:v>
      </x:c>
      <x:c r="C143" s="25" t="str">
        <x:v>K062</x:v>
      </x:c>
      <x:c r="D143" s="25" t="str">
        <x:v>“货运代理选择与协作”可用于识别、预防或处理“运输方式错误或错过船期”。</x:v>
      </x:c>
      <x:c r="E143" s="26" t="str">
        <x:v>Uses the forwarder to recover a missed sailing or to rebook.</x:v>
      </x:c>
    </x:row>
    <x:row r="144">
      <x:c r="A144" s="24" t="str">
        <x:v>P5.04</x:v>
      </x:c>
      <x:c r="B144" s="25" t="str">
        <x:v>REQUIRES_RESOURCE</x:v>
      </x:c>
      <x:c r="C144" s="25" t="str">
        <x:v>K049</x:v>
      </x:c>
      <x:c r="D144" s="25" t="str">
        <x:v>“订单交付日期跟踪”可用于识别、预防或处理“运输方式错误或错过船期”。</x:v>
      </x:c>
      <x:c r="E144" s="26" t="str">
        <x:v>Feeds the miss back into the contractual delivery tracker.</x:v>
      </x:c>
    </x:row>
    <x:row r="145">
      <x:c r="A145" s="24" t="str">
        <x:v>P5.05</x:v>
      </x:c>
      <x:c r="B145" s="25" t="str">
        <x:v>REQUIRES_RESOURCE</x:v>
      </x:c>
      <x:c r="C145" s="25" t="str">
        <x:v>K058</x:v>
      </x:c>
      <x:c r="D145" s="25" t="str">
        <x:v>“装运通知与货物跟踪”可用于识别、预防或处理“未及时发送装运通知”。</x:v>
      </x:c>
      <x:c r="E145" s="26" t="str">
        <x:v>Makes shipping advice a timed, mandatory step.</x:v>
      </x:c>
    </x:row>
    <x:row r="146">
      <x:c r="A146" s="24" t="str">
        <x:v>P5.05</x:v>
      </x:c>
      <x:c r="B146" s="25" t="str">
        <x:v>REQUIRES_RESOURCE</x:v>
      </x:c>
      <x:c r="C146" s="25" t="str">
        <x:v>K065</x:v>
      </x:c>
      <x:c r="D146" s="25" t="str">
        <x:v>“国际运输规则、海关与港口物流”可用于识别、预防或处理“未及时发送装运通知”。</x:v>
      </x:c>
      <x:c r="E146" s="26" t="str">
        <x:v>Ties advice to B/L surrender, customs, and pickup.</x:v>
      </x:c>
    </x:row>
    <x:row r="147">
      <x:c r="A147" s="24" t="str">
        <x:v>P5.05</x:v>
      </x:c>
      <x:c r="B147" s="25" t="str">
        <x:v>REQUIRES_RESOURCE</x:v>
      </x:c>
      <x:c r="C147" s="25" t="str">
        <x:v>K093</x:v>
      </x:c>
      <x:c r="D147" s="25" t="str">
        <x:v>“投保与保险索赔程序”可用于识别、预防或处理“未及时发送装运通知”。</x:v>
      </x:c>
      <x:c r="E147" s="26" t="str">
        <x:v>Gives the insurer the notice they need if a casualty follows.</x:v>
      </x:c>
    </x:row>
    <x:row r="148">
      <x:c r="A148" s="24" t="str">
        <x:v>P5.05</x:v>
      </x:c>
      <x:c r="B148" s="25" t="str">
        <x:v>REQUIRES_RESOURCE</x:v>
      </x:c>
      <x:c r="C148" s="25" t="str">
        <x:v>K066</x:v>
      </x:c>
      <x:c r="D148" s="25" t="str">
        <x:v>“信用证的开立、条款与解释”可用于识别、预防或处理“未及时发送装运通知”。</x:v>
      </x:c>
      <x:c r="E148" s="26" t="str">
        <x:v>Meets L/C presentation calendars that start from the B/L date.</x:v>
      </x:c>
    </x:row>
    <x:row r="149">
      <x:c r="A149" s="24" t="str">
        <x:v>P5.06</x:v>
      </x:c>
      <x:c r="B149" s="25" t="str">
        <x:v>REQUIRES_RESOURCE</x:v>
      </x:c>
      <x:c r="C149" s="25" t="str">
        <x:v>K060</x:v>
      </x:c>
      <x:c r="D149" s="25" t="str">
        <x:v>“包装环保与监管要求”可用于识别、预防或处理“包装环保或监管不合规”。</x:v>
      </x:c>
      <x:c r="E149" s="26" t="str">
        <x:v>Applies ISPM-15 and destination packaging-waste rules.</x:v>
      </x:c>
    </x:row>
    <x:row r="150">
      <x:c r="A150" s="24" t="str">
        <x:v>P5.06</x:v>
      </x:c>
      <x:c r="B150" s="25" t="str">
        <x:v>REQUIRES_RESOURCE</x:v>
      </x:c>
      <x:c r="C150" s="25" t="str">
        <x:v>K052</x:v>
      </x:c>
      <x:c r="D150" s="25" t="str">
        <x:v>“出口包装要求”可用于识别、预防或处理“包装环保或监管不合规”。</x:v>
      </x:c>
      <x:c r="E150" s="26" t="str">
        <x:v>Treats regulatory packing as part of export packing, not an extra.</x:v>
      </x:c>
    </x:row>
    <x:row r="151">
      <x:c r="A151" s="24" t="str">
        <x:v>P5.06</x:v>
      </x:c>
      <x:c r="B151" s="25" t="str">
        <x:v>REQUIRES_RESOURCE</x:v>
      </x:c>
      <x:c r="C151" s="25" t="str">
        <x:v>K089</x:v>
      </x:c>
      <x:c r="D151" s="25" t="str">
        <x:v>“多国检验、认证与环保测试”可用于识别、预防或处理“包装环保或监管不合规”。</x:v>
      </x:c>
      <x:c r="E151" s="26" t="str">
        <x:v>Connects packing rules to chemical and product environmental tests.</x:v>
      </x:c>
    </x:row>
    <x:row r="152">
      <x:c r="A152" s="24" t="str">
        <x:v>P5.06</x:v>
      </x:c>
      <x:c r="B152" s="25" t="str">
        <x:v>REQUIRES_RESOURCE</x:v>
      </x:c>
      <x:c r="C152" s="25" t="str">
        <x:v>K065</x:v>
      </x:c>
      <x:c r="D152" s="25" t="str">
        <x:v>“国际运输规则、海关与港口物流”可用于识别、预防或处理“包装环保或监管不合规”。</x:v>
      </x:c>
      <x:c r="E152" s="26" t="str">
        <x:v>Stops a green-rule miss from becoming a customs hold.</x:v>
      </x:c>
    </x:row>
    <x:row r="153">
      <x:c r="A153" s="24" t="str">
        <x:v>P5.07</x:v>
      </x:c>
      <x:c r="B153" s="25" t="str">
        <x:v>REQUIRES_RESOURCE</x:v>
      </x:c>
      <x:c r="C153" s="25" t="str">
        <x:v>K062</x:v>
      </x:c>
      <x:c r="D153" s="25" t="str">
        <x:v>“货运代理选择与协作”可用于识别、预防或处理“海关与货代协同失败”。</x:v>
      </x:c>
      <x:c r="E153" s="26" t="str">
        <x:v>Selects and briefs a forwarder who can actually clear the lane.</x:v>
      </x:c>
    </x:row>
    <x:row r="154">
      <x:c r="A154" s="24" t="str">
        <x:v>P5.07</x:v>
      </x:c>
      <x:c r="B154" s="25" t="str">
        <x:v>REQUIRES_RESOURCE</x:v>
      </x:c>
      <x:c r="C154" s="25" t="str">
        <x:v>K065</x:v>
      </x:c>
      <x:c r="D154" s="25" t="str">
        <x:v>“国际运输规则、海关与港口物流”可用于识别、预防或处理“海关与货代协同失败”。</x:v>
      </x:c>
      <x:c r="E154" s="26" t="str">
        <x:v>Runs ISF/ENS, B/L, and port steps as one file.</x:v>
      </x:c>
    </x:row>
    <x:row r="155">
      <x:c r="A155" s="24" t="str">
        <x:v>P5.07</x:v>
      </x:c>
      <x:c r="B155" s="25" t="str">
        <x:v>REQUIRES_RESOURCE</x:v>
      </x:c>
      <x:c r="C155" s="25" t="str">
        <x:v>K058</x:v>
      </x:c>
      <x:c r="D155" s="25" t="str">
        <x:v>“装运通知与货物跟踪”可用于识别、预防或处理“海关与货代协同失败”。</x:v>
      </x:c>
      <x:c r="E155" s="26" t="str">
        <x:v>Keeps all parties on the same tracking picture.</x:v>
      </x:c>
    </x:row>
    <x:row r="156">
      <x:c r="A156" s="24" t="str">
        <x:v>P5.07</x:v>
      </x:c>
      <x:c r="B156" s="25" t="str">
        <x:v>REQUIRES_RESOURCE</x:v>
      </x:c>
      <x:c r="C156" s="25" t="str">
        <x:v>K043</x:v>
      </x:c>
      <x:c r="D156" s="25" t="str">
        <x:v>“订货流程与确认”可用于识别、预防或处理“海关与货代协同失败”。</x:v>
      </x:c>
      <x:c r="E156" s="26" t="str">
        <x:v>Checks that the order confirmation named the real shipper/consignee.</x:v>
      </x:c>
    </x:row>
    <x:row r="157">
      <x:c r="A157" s="24" t="str">
        <x:v>P5.08</x:v>
      </x:c>
      <x:c r="B157" s="25" t="str">
        <x:v>REQUIRES_RESOURCE</x:v>
      </x:c>
      <x:c r="C157" s="25" t="str">
        <x:v>K059</x:v>
      </x:c>
      <x:c r="D157" s="25" t="str">
        <x:v>“装运中的文化敏感性”可用于识别、预防或处理“包装色彩或符号触犯文化禁忌”。</x:v>
      </x:c>
      <x:c r="E157" s="26" t="str">
        <x:v>Screens colours, numbers, and motifs for the destination.</x:v>
      </x:c>
    </x:row>
    <x:row r="158">
      <x:c r="A158" s="24" t="str">
        <x:v>P5.08</x:v>
      </x:c>
      <x:c r="B158" s="25" t="str">
        <x:v>REQUIRES_RESOURCE</x:v>
      </x:c>
      <x:c r="C158" s="25" t="str">
        <x:v>K056</x:v>
      </x:c>
      <x:c r="D158" s="25" t="str">
        <x:v>“包装唛头与标志”可用于识别、预防或处理“包装色彩或符号触犯文化禁忌”。</x:v>
      </x:c>
      <x:c r="E158" s="26" t="str">
        <x:v>Redesigns marks without losing identification function.</x:v>
      </x:c>
    </x:row>
    <x:row r="159">
      <x:c r="A159" s="24" t="str">
        <x:v>P5.08</x:v>
      </x:c>
      <x:c r="B159" s="25" t="str">
        <x:v>REQUIRES_RESOURCE</x:v>
      </x:c>
      <x:c r="C159" s="25" t="str">
        <x:v>K007</x:v>
      </x:c>
      <x:c r="D159" s="25" t="str">
        <x:v>“询盘礼仪与跨文化差异”可用于识别、预防或处理“包装色彩或符号触犯文化禁忌”。</x:v>
      </x:c>
      <x:c r="E159" s="26" t="str">
        <x:v>Uses the same cultural literacy that first contact required.</x:v>
      </x:c>
    </x:row>
    <x:row r="160">
      <x:c r="A160" s="24" t="str">
        <x:v>P6.01</x:v>
      </x:c>
      <x:c r="B160" s="25" t="str">
        <x:v>REQUIRES_STRATEGY</x:v>
      </x:c>
      <x:c r="C160" s="25" t="str">
        <x:v>K069</x:v>
      </x:c>
      <x:c r="D160" s="25" t="str">
        <x:v>运用“付款方式僵局处理”应对“付款方式谈判僵局”，把原则转化为可执行的谈判行动。</x:v>
      </x:c>
      <x:c r="E160" s="26" t="str">
        <x:v>Applies deadlock tools, including retreat-to-advance on the instrument.</x:v>
      </x:c>
    </x:row>
    <x:row r="161">
      <x:c r="A161" s="24" t="str">
        <x:v>P6.01</x:v>
      </x:c>
      <x:c r="B161" s="25" t="str">
        <x:v>REQUIRES_STRATEGY</x:v>
      </x:c>
      <x:c r="C161" s="25" t="str">
        <x:v>K070</x:v>
      </x:c>
      <x:c r="D161" s="25" t="str">
        <x:v>运用“付款方式比较与选择”应对“付款方式谈判僵局”，把原则转化为可执行的谈判行动。</x:v>
      </x:c>
      <x:c r="E161" s="26" t="str">
        <x:v>Puts L/C, T/T, and collection on one risk/cost comparison.</x:v>
      </x:c>
    </x:row>
    <x:row r="162">
      <x:c r="A162" s="24" t="str">
        <x:v>P6.01</x:v>
      </x:c>
      <x:c r="B162" s="25" t="str">
        <x:v>REQUIRES_STRATEGY</x:v>
      </x:c>
      <x:c r="C162" s="25" t="str">
        <x:v>K076</x:v>
      </x:c>
      <x:c r="D162" s="25" t="str">
        <x:v>运用“混合与综合付款方式”应对“付款方式谈判僵局”，把原则转化为可执行的谈判行动。</x:v>
      </x:c>
      <x:c r="E162" s="26" t="str">
        <x:v>Offers a hybrid as the third way out of a binary fight.</x:v>
      </x:c>
    </x:row>
    <x:row r="163">
      <x:c r="A163" s="24" t="str">
        <x:v>P6.01</x:v>
      </x:c>
      <x:c r="B163" s="25" t="str">
        <x:v>REQUIRES_RESOURCE</x:v>
      </x:c>
      <x:c r="C163" s="25" t="str">
        <x:v>K072</x:v>
      </x:c>
      <x:c r="D163" s="25" t="str">
        <x:v>“付款与交付的跨文化差异”可用于识别、预防或处理“付款方式谈判僵局”。</x:v>
      </x:c>
      <x:c r="E163" s="26" t="str">
        <x:v>Reads the deadlock as a cultural risk script, not as stubbornness.</x:v>
      </x:c>
    </x:row>
    <x:row r="164">
      <x:c r="A164" s="24" t="str">
        <x:v>P6.01</x:v>
      </x:c>
      <x:c r="B164" s="25" t="str">
        <x:v>REQUIRES_STRATEGY</x:v>
      </x:c>
      <x:c r="C164" s="25" t="str">
        <x:v>K029</x:v>
      </x:c>
      <x:c r="D164" s="25" t="str">
        <x:v>运用“以退为进策略”应对“付款方式谈判僵局”，把原则转化为可执行的谈判行动。</x:v>
      </x:c>
      <x:c r="E164" s="26" t="str">
        <x:v>Reuses retreat-to-advance from the counter-offer stage.</x:v>
      </x:c>
    </x:row>
    <x:row r="165">
      <x:c r="A165" s="24" t="str">
        <x:v>P6.01</x:v>
      </x:c>
      <x:c r="B165" s="25" t="str">
        <x:v>REQUIRES_STRATEGY</x:v>
      </x:c>
      <x:c r="C165" s="25" t="str">
        <x:v>K073</x:v>
      </x:c>
      <x:c r="D165" s="25" t="str">
        <x:v>运用“预付款、融资与赊销”应对“付款方式谈判僵局”，把原则转化为可执行的谈判行动。</x:v>
      </x:c>
      <x:c r="E165" s="26" t="str">
        <x:v>Adds a deposit or financing sweetener to unstick the method.</x:v>
      </x:c>
    </x:row>
    <x:row r="166">
      <x:c r="A166" s="24" t="str">
        <x:v>P6.02</x:v>
      </x:c>
      <x:c r="B166" s="25" t="str">
        <x:v>REQUIRES_RESOURCE</x:v>
      </x:c>
      <x:c r="C166" s="25" t="str">
        <x:v>K066</x:v>
      </x:c>
      <x:c r="D166" s="25" t="str">
        <x:v>“信用证的开立、条款与解释”可用于识别、预防或处理“信用证不符点导致拒付”。</x:v>
      </x:c>
      <x:c r="E166" s="26" t="str">
        <x:v>Drafts and checks the L/C against UCP 600 strict compliance.</x:v>
      </x:c>
    </x:row>
    <x:row r="167">
      <x:c r="A167" s="24" t="str">
        <x:v>P6.02</x:v>
      </x:c>
      <x:c r="B167" s="25" t="str">
        <x:v>REQUIRES_RESOURCE</x:v>
      </x:c>
      <x:c r="C167" s="25" t="str">
        <x:v>K077</x:v>
      </x:c>
      <x:c r="D167" s="25" t="str">
        <x:v>“国际银行业务与托收技巧”可用于识别、预防或处理“信用证不符点导致拒付”。</x:v>
      </x:c>
      <x:c r="E167" s="26" t="str">
        <x:v>Runs presentation, discrepancy, and waiver operations.</x:v>
      </x:c>
    </x:row>
    <x:row r="168">
      <x:c r="A168" s="24" t="str">
        <x:v>P6.02</x:v>
      </x:c>
      <x:c r="B168" s="25" t="str">
        <x:v>REQUIRES_RESOURCE</x:v>
      </x:c>
      <x:c r="C168" s="25" t="str">
        <x:v>K082</x:v>
      </x:c>
      <x:c r="D168" s="25" t="str">
        <x:v>“检验证书与单据”可用于识别、预防或处理“信用证不符点导致拒付”。</x:v>
      </x:c>
      <x:c r="E168" s="26" t="str">
        <x:v>Aligns inspection certificates with the L/C description.</x:v>
      </x:c>
    </x:row>
    <x:row r="169">
      <x:c r="A169" s="24" t="str">
        <x:v>P6.02</x:v>
      </x:c>
      <x:c r="B169" s="25" t="str">
        <x:v>REQUIRES_RESOURCE</x:v>
      </x:c>
      <x:c r="C169" s="25" t="str">
        <x:v>K019</x:v>
      </x:c>
      <x:c r="D169" s="25" t="str">
        <x:v>“发盘函结构”可用于识别、预防或处理“信用证不符点导致拒付”。</x:v>
      </x:c>
      <x:c r="E169" s="26" t="str">
        <x:v>Makes sure the offer’s document list is what the L/C later repeats.</x:v>
      </x:c>
    </x:row>
    <x:row r="170">
      <x:c r="A170" s="24" t="str">
        <x:v>P6.02</x:v>
      </x:c>
      <x:c r="B170" s="25" t="str">
        <x:v>REQUIRES_RESOURCE</x:v>
      </x:c>
      <x:c r="C170" s="25" t="str">
        <x:v>K058</x:v>
      </x:c>
      <x:c r="D170" s="25" t="str">
        <x:v>“装运通知与货物跟踪”可用于识别、预防或处理“信用证不符点导致拒付”。</x:v>
      </x:c>
      <x:c r="E170" s="26" t="str">
        <x:v>Gets B/L data right so the document set matches.</x:v>
      </x:c>
    </x:row>
    <x:row r="171">
      <x:c r="A171" s="24" t="str">
        <x:v>P6.03</x:v>
      </x:c>
      <x:c r="B171" s="25" t="str">
        <x:v>REQUIRES_RESOURCE</x:v>
      </x:c>
      <x:c r="C171" s="25" t="str">
        <x:v>K075</x:v>
      </x:c>
      <x:c r="D171" s="25" t="str">
        <x:v>“汇率风险管理”可用于识别、预防或处理“汇率波动侵蚀利润”。</x:v>
      </x:c>
      <x:c r="E171" s="26" t="str">
        <x:v>Hedges, shortens validity, or splits currency exposure.</x:v>
      </x:c>
    </x:row>
    <x:row r="172">
      <x:c r="A172" s="24" t="str">
        <x:v>P6.03</x:v>
      </x:c>
      <x:c r="B172" s="25" t="str">
        <x:v>REQUIRES_STRATEGY</x:v>
      </x:c>
      <x:c r="C172" s="25" t="str">
        <x:v>K076</x:v>
      </x:c>
      <x:c r="D172" s="25" t="str">
        <x:v>运用“混合与综合付款方式”应对“汇率波动侵蚀利润”，把原则转化为可执行的谈判行动。</x:v>
      </x:c>
      <x:c r="E172" s="26" t="str">
        <x:v>Designs payment timing so FX windows are known.</x:v>
      </x:c>
    </x:row>
    <x:row r="173">
      <x:c r="A173" s="24" t="str">
        <x:v>P6.03</x:v>
      </x:c>
      <x:c r="B173" s="25" t="str">
        <x:v>REQUIRES_RESOURCE</x:v>
      </x:c>
      <x:c r="C173" s="25" t="str">
        <x:v>K021</x:v>
      </x:c>
      <x:c r="D173" s="25" t="str">
        <x:v>“定价因素分析”可用于识别、预防或处理“汇率波动侵蚀利润”。</x:v>
      </x:c>
      <x:c r="E173" s="26" t="str">
        <x:v>Rebuilds the offer price with an FX buffer.</x:v>
      </x:c>
    </x:row>
    <x:row r="174">
      <x:c r="A174" s="24" t="str">
        <x:v>P6.03</x:v>
      </x:c>
      <x:c r="B174" s="25" t="str">
        <x:v>REQUIRES_RESOURCE</x:v>
      </x:c>
      <x:c r="C174" s="25" t="str">
        <x:v>K024</x:v>
      </x:c>
      <x:c r="D174" s="25" t="str">
        <x:v>“发盘风险管理”可用于识别、预防或处理“汇率波动侵蚀利润”。</x:v>
      </x:c>
      <x:c r="E174" s="26" t="str">
        <x:v>Treats unhedged firm offers as a risk-management failure.</x:v>
      </x:c>
    </x:row>
    <x:row r="175">
      <x:c r="A175" s="24" t="str">
        <x:v>P6.03</x:v>
      </x:c>
      <x:c r="B175" s="25" t="str">
        <x:v>REQUIRES_RESOURCE</x:v>
      </x:c>
      <x:c r="C175" s="25" t="str">
        <x:v>K015</x:v>
      </x:c>
      <x:c r="D175" s="25" t="str">
        <x:v>“发盘有效期”可用于识别、预防或处理“汇率波动侵蚀利润”。</x:v>
      </x:c>
      <x:c r="E175" s="26" t="str">
        <x:v>Uses a short validity period as a cheap FX control.</x:v>
      </x:c>
    </x:row>
    <x:row r="176">
      <x:c r="A176" s="24" t="str">
        <x:v>P6.04</x:v>
      </x:c>
      <x:c r="B176" s="25" t="str">
        <x:v>REQUIRES_RESOURCE</x:v>
      </x:c>
      <x:c r="C176" s="25" t="str">
        <x:v>K067</x:v>
      </x:c>
      <x:c r="D176" s="25" t="str">
        <x:v>“电汇（T/T）”可用于识别、预防或处理“T/T 余款拖延或信用被滥用”。</x:v>
      </x:c>
      <x:c r="E176" s="26" t="str">
        <x:v>Defines T/T triggers so 'balance later' is not open-ended.</x:v>
      </x:c>
    </x:row>
    <x:row r="177">
      <x:c r="A177" s="24" t="str">
        <x:v>P6.04</x:v>
      </x:c>
      <x:c r="B177" s="25" t="str">
        <x:v>REQUIRES_STRATEGY</x:v>
      </x:c>
      <x:c r="C177" s="25" t="str">
        <x:v>K073</x:v>
      </x:c>
      <x:c r="D177" s="25" t="str">
        <x:v>运用“预付款、融资与赊销”应对“T/T 余款拖延或信用被滥用”，把原则转化为可执行的谈判行动。</x:v>
      </x:c>
      <x:c r="E177" s="26" t="str">
        <x:v>Prices credit and deposits; does not grant D/A as a favour.</x:v>
      </x:c>
    </x:row>
    <x:row r="178">
      <x:c r="A178" s="24" t="str">
        <x:v>P6.04</x:v>
      </x:c>
      <x:c r="B178" s="25" t="str">
        <x:v>REQUIRES_RESOURCE</x:v>
      </x:c>
      <x:c r="C178" s="25" t="str">
        <x:v>K077</x:v>
      </x:c>
      <x:c r="D178" s="25" t="str">
        <x:v>“国际银行业务与托收技巧”可用于识别、预防或处理“T/T 余款拖延或信用被滥用”。</x:v>
      </x:c>
      <x:c r="E178" s="26" t="str">
        <x:v>Collects with a document trail when the balance does not arrive.</x:v>
      </x:c>
    </x:row>
    <x:row r="179">
      <x:c r="A179" s="24" t="str">
        <x:v>P6.04</x:v>
      </x:c>
      <x:c r="B179" s="25" t="str">
        <x:v>REQUIRES_RESOURCE</x:v>
      </x:c>
      <x:c r="C179" s="25" t="str">
        <x:v>K068</x:v>
      </x:c>
      <x:c r="D179" s="25" t="str">
        <x:v>“跟单托收（D/P、D/A）”可用于识别、预防或处理“T/T 余款拖延或信用被滥用”。</x:v>
      </x:c>
      <x:c r="E179" s="26" t="str">
        <x:v>Avoids sliding from T/T into unsecured D/A by accident.</x:v>
      </x:c>
    </x:row>
    <x:row r="180">
      <x:c r="A180" s="24" t="str">
        <x:v>P6.04</x:v>
      </x:c>
      <x:c r="B180" s="25" t="str">
        <x:v>REQUIRES_STRATEGY</x:v>
      </x:c>
      <x:c r="C180" s="25" t="str">
        <x:v>K070</x:v>
      </x:c>
      <x:c r="D180" s="25" t="str">
        <x:v>运用“付款方式比较与选择”应对“T/T 余款拖延或信用被滥用”，把原则转化为可执行的谈判行动。</x:v>
      </x:c>
      <x:c r="E180" s="26" t="str">
        <x:v>Re-selects the method after a missed payment.</x:v>
      </x:c>
    </x:row>
    <x:row r="181">
      <x:c r="A181" s="24" t="str">
        <x:v>P6.05</x:v>
      </x:c>
      <x:c r="B181" s="25" t="str">
        <x:v>REQUIRES_RESOURCE</x:v>
      </x:c>
      <x:c r="C181" s="25" t="str">
        <x:v>K074</x:v>
      </x:c>
      <x:c r="D181" s="25" t="str">
        <x:v>“交付迟延与合同违约”可用于识别、预防或处理“交付迟延构成违约”。</x:v>
      </x:c>
      <x:c r="E181" s="26" t="str">
        <x:v>Applies Nachfrist, avoidance, and damages rules.</x:v>
      </x:c>
    </x:row>
    <x:row r="182">
      <x:c r="A182" s="24" t="str">
        <x:v>P6.05</x:v>
      </x:c>
      <x:c r="B182" s="25" t="str">
        <x:v>REQUIRES_RESOURCE</x:v>
      </x:c>
      <x:c r="C182" s="25" t="str">
        <x:v>K071</x:v>
      </x:c>
      <x:c r="D182" s="25" t="str">
        <x:v>“交付条件与验收标准”可用于识别、预防或处理“交付迟延构成违约”。</x:v>
      </x:c>
      <x:c r="E182" s="26" t="str">
        <x:v>Fixes what 'delivered' meant under the term.</x:v>
      </x:c>
    </x:row>
    <x:row r="183">
      <x:c r="A183" s="24" t="str">
        <x:v>P6.05</x:v>
      </x:c>
      <x:c r="B183" s="25" t="str">
        <x:v>REQUIRES_RESOURCE</x:v>
      </x:c>
      <x:c r="C183" s="25" t="str">
        <x:v>K049</x:v>
      </x:c>
      <x:c r="D183" s="25" t="str">
        <x:v>“订单交付日期跟踪”可用于识别、预防或处理“交付迟延构成违约”。</x:v>
      </x:c>
      <x:c r="E183" s="26" t="str">
        <x:v>Shows the drift was (or was not) visible in the tracker.</x:v>
      </x:c>
    </x:row>
    <x:row r="184">
      <x:c r="A184" s="24" t="str">
        <x:v>P6.05</x:v>
      </x:c>
      <x:c r="B184" s="25" t="str">
        <x:v>REQUIRES_RESOURCE</x:v>
      </x:c>
      <x:c r="C184" s="25" t="str">
        <x:v>K050</x:v>
      </x:c>
      <x:c r="D184" s="25" t="str">
        <x:v>“合同免责条款”可用于识别、预防或处理“交付迟延构成违约”。</x:v>
      </x:c>
      <x:c r="E184" s="26" t="str">
        <x:v>Tests whether an exemption clause actually covers this delay.</x:v>
      </x:c>
    </x:row>
    <x:row r="185">
      <x:c r="A185" s="24" t="str">
        <x:v>P6.05</x:v>
      </x:c>
      <x:c r="B185" s="25" t="str">
        <x:v>REQUIRES_RESOURCE</x:v>
      </x:c>
      <x:c r="C185" s="25" t="str">
        <x:v>K114</x:v>
      </x:c>
      <x:c r="D185" s="25" t="str">
        <x:v>“不可抗力条款与案例”可用于识别、预防或处理“交付迟延构成违约”。</x:v>
      </x:c>
      <x:c r="E185" s="26" t="str">
        <x:v>Separates a true FM event from an ordinary late shipment.</x:v>
      </x:c>
    </x:row>
    <x:row r="186">
      <x:c r="A186" s="24" t="str">
        <x:v>P6.06</x:v>
      </x:c>
      <x:c r="B186" s="25" t="str">
        <x:v>REQUIRES_RESOURCE</x:v>
      </x:c>
      <x:c r="C186" s="25" t="str">
        <x:v>K071</x:v>
      </x:c>
      <x:c r="D186" s="25" t="str">
        <x:v>“交付条件与验收标准”可用于识别、预防或处理“交付验收标准争议”。</x:v>
      </x:c>
      <x:c r="E186" s="26" t="str">
        <x:v>Writes delivery and acceptance evidence into the contract.</x:v>
      </x:c>
    </x:row>
    <x:row r="187">
      <x:c r="A187" s="24" t="str">
        <x:v>P6.06</x:v>
      </x:c>
      <x:c r="B187" s="25" t="str">
        <x:v>REQUIRES_RESOURCE</x:v>
      </x:c>
      <x:c r="C187" s="25" t="str">
        <x:v>K048</x:v>
      </x:c>
      <x:c r="D187" s="25" t="str">
        <x:v>“订单执行与履约监控”可用于识别、预防或处理“交付验收标准争议”。</x:v>
      </x:c>
      <x:c r="E187" s="26" t="str">
        <x:v>Monitors the acceptance event as a performance milestone.</x:v>
      </x:c>
    </x:row>
    <x:row r="188">
      <x:c r="A188" s="24" t="str">
        <x:v>P6.06</x:v>
      </x:c>
      <x:c r="B188" s="25" t="str">
        <x:v>REQUIRES_RESOURCE</x:v>
      </x:c>
      <x:c r="C188" s="25" t="str">
        <x:v>K081</x:v>
      </x:c>
      <x:c r="D188" s="25" t="str">
        <x:v>“检验地点与时间”可用于识别、预防或处理“交付验收标准争议”。</x:v>
      </x:c>
      <x:c r="E188" s="26" t="str">
        <x:v>Aligns inspection place with the delivery point.</x:v>
      </x:c>
    </x:row>
    <x:row r="189">
      <x:c r="A189" s="24" t="str">
        <x:v>P6.06</x:v>
      </x:c>
      <x:c r="B189" s="25" t="str">
        <x:v>REQUIRES_RESOURCE</x:v>
      </x:c>
      <x:c r="C189" s="25" t="str">
        <x:v>K016</x:v>
      </x:c>
      <x:c r="D189" s="25" t="str">
        <x:v>“FOB 条件”可用于识别、预防或处理“交付验收标准争议”。</x:v>
      </x:c>
      <x:c r="E189" s="26" t="str">
        <x:v>Under FOB, stops the buyer treating on-board as 'not yet delivered'.</x:v>
      </x:c>
    </x:row>
    <x:row r="190">
      <x:c r="A190" s="24" t="str">
        <x:v>P6.06</x:v>
      </x:c>
      <x:c r="B190" s="25" t="str">
        <x:v>REQUIRES_RESOURCE</x:v>
      </x:c>
      <x:c r="C190" s="25" t="str">
        <x:v>K017</x:v>
      </x:c>
      <x:c r="D190" s="25" t="str">
        <x:v>“CIF 条件”可用于识别、预防或处理“交付验收标准争议”。</x:v>
      </x:c>
      <x:c r="E190" s="26" t="str">
        <x:v>Under CIF, stops the buyer treating arrival as the delivery point.</x:v>
      </x:c>
    </x:row>
    <x:row r="191">
      <x:c r="A191" s="24" t="str">
        <x:v>P6.07</x:v>
      </x:c>
      <x:c r="B191" s="25" t="str">
        <x:v>REQUIRES_STRATEGY</x:v>
      </x:c>
      <x:c r="C191" s="25" t="str">
        <x:v>K076</x:v>
      </x:c>
      <x:c r="D191" s="25" t="str">
        <x:v>运用“混合与综合付款方式”应对“混合付款方案设计不当”，把原则转化为可执行的谈判行动。</x:v>
      </x:c>
      <x:c r="E191" s="26" t="str">
        <x:v>Designs triggers, documents, and FX for each slice of the hybrid.</x:v>
      </x:c>
    </x:row>
    <x:row r="192">
      <x:c r="A192" s="24" t="str">
        <x:v>P6.07</x:v>
      </x:c>
      <x:c r="B192" s="25" t="str">
        <x:v>REQUIRES_STRATEGY</x:v>
      </x:c>
      <x:c r="C192" s="25" t="str">
        <x:v>K070</x:v>
      </x:c>
      <x:c r="D192" s="25" t="str">
        <x:v>运用“付款方式比较与选择”应对“混合付款方案设计不当”，把原则转化为可执行的谈判行动。</x:v>
      </x:c>
      <x:c r="E192" s="26" t="str">
        <x:v>Checks the hybrid is still the right mix of risk and cost.</x:v>
      </x:c>
    </x:row>
    <x:row r="193">
      <x:c r="A193" s="24" t="str">
        <x:v>P6.07</x:v>
      </x:c>
      <x:c r="B193" s="25" t="str">
        <x:v>REQUIRES_STRATEGY</x:v>
      </x:c>
      <x:c r="C193" s="25" t="str">
        <x:v>K073</x:v>
      </x:c>
      <x:c r="D193" s="25" t="str">
        <x:v>运用“预付款、融资与赊销”应对“混合付款方案设计不当”，把原则转化为可执行的谈判行动。</x:v>
      </x:c>
      <x:c r="E193" s="26" t="str">
        <x:v>Funds the production slice without giving away the credit slice.</x:v>
      </x:c>
    </x:row>
    <x:row r="194">
      <x:c r="A194" s="24" t="str">
        <x:v>P6.07</x:v>
      </x:c>
      <x:c r="B194" s="25" t="str">
        <x:v>REQUIRES_STRATEGY</x:v>
      </x:c>
      <x:c r="C194" s="25" t="str">
        <x:v>K069</x:v>
      </x:c>
      <x:c r="D194" s="25" t="str">
        <x:v>运用“付款方式僵局处理”应对“混合付款方案设计不当”，把原则转化为可执行的谈判行动。</x:v>
      </x:c>
      <x:c r="E194" s="26" t="str">
        <x:v>Uses the hybrid as a deadlock-breaker, not as a vague compromise.</x:v>
      </x:c>
    </x:row>
    <x:row r="195">
      <x:c r="A195" s="24" t="str">
        <x:v>P6.07</x:v>
      </x:c>
      <x:c r="B195" s="25" t="str">
        <x:v>REQUIRES_RESOURCE</x:v>
      </x:c>
      <x:c r="C195" s="25" t="str">
        <x:v>K066</x:v>
      </x:c>
      <x:c r="D195" s="25" t="str">
        <x:v>“信用证的开立、条款与解释”可用于识别、预防或处理“混合付款方案设计不当”。</x:v>
      </x:c>
      <x:c r="E195" s="26" t="str">
        <x:v>Makes the L/C slice issuable and checkable on its own.</x:v>
      </x:c>
    </x:row>
    <x:row r="196">
      <x:c r="A196" s="24" t="str">
        <x:v>P7.01</x:v>
      </x:c>
      <x:c r="B196" s="25" t="str">
        <x:v>REQUIRES_RESOURCE</x:v>
      </x:c>
      <x:c r="C196" s="25" t="str">
        <x:v>K078</x:v>
      </x:c>
      <x:c r="D196" s="25" t="str">
        <x:v>“商品检验的定义”可用于识别、预防或处理“检验地点与时间争议”。</x:v>
      </x:c>
      <x:c r="E196" s="26" t="str">
        <x:v>Starts from what inspection is, so place and time have a purpose.</x:v>
      </x:c>
    </x:row>
    <x:row r="197">
      <x:c r="A197" s="24" t="str">
        <x:v>P7.01</x:v>
      </x:c>
      <x:c r="B197" s="25" t="str">
        <x:v>REQUIRES_RESOURCE</x:v>
      </x:c>
      <x:c r="C197" s="25" t="str">
        <x:v>K081</x:v>
      </x:c>
      <x:c r="D197" s="25" t="str">
        <x:v>“检验地点与时间”可用于识别、预防或处理“检验地点与时间争议”。</x:v>
      </x:c>
      <x:c r="E197" s="26" t="str">
        <x:v>Writes origin vs destination, and the number of days, into the clause.</x:v>
      </x:c>
    </x:row>
    <x:row r="198">
      <x:c r="A198" s="24" t="str">
        <x:v>P7.01</x:v>
      </x:c>
      <x:c r="B198" s="25" t="str">
        <x:v>REQUIRES_RESOURCE</x:v>
      </x:c>
      <x:c r="C198" s="25" t="str">
        <x:v>K079</x:v>
      </x:c>
      <x:c r="D198" s="25" t="str">
        <x:v>“商品检验流程”可用于识别、预防或处理“检验地点与时间争议”。</x:v>
      </x:c>
      <x:c r="E198" s="26" t="str">
        <x:v>Books the agency against that place and time.</x:v>
      </x:c>
    </x:row>
    <x:row r="199">
      <x:c r="A199" s="24" t="str">
        <x:v>P7.01</x:v>
      </x:c>
      <x:c r="B199" s="25" t="str">
        <x:v>REQUIRES_RESOURCE</x:v>
      </x:c>
      <x:c r="C199" s="25" t="str">
        <x:v>K016</x:v>
      </x:c>
      <x:c r="D199" s="25" t="str">
        <x:v>“FOB 条件”可用于识别、预防或处理“检验地点与时间争议”。</x:v>
      </x:c>
      <x:c r="E199" s="26" t="str">
        <x:v>Aligns FOB delivery with origin inspection where that is the deal.</x:v>
      </x:c>
    </x:row>
    <x:row r="200">
      <x:c r="A200" s="24" t="str">
        <x:v>P7.01</x:v>
      </x:c>
      <x:c r="B200" s="25" t="str">
        <x:v>REQUIRES_RESOURCE</x:v>
      </x:c>
      <x:c r="C200" s="25" t="str">
        <x:v>K017</x:v>
      </x:c>
      <x:c r="D200" s="25" t="str">
        <x:v>“CIF 条件”可用于识别、预防或处理“检验地点与时间争议”。</x:v>
      </x:c>
      <x:c r="E200" s="26" t="str">
        <x:v>Aligns CIF risk-pass with who must inspect when.</x:v>
      </x:c>
    </x:row>
    <x:row r="201">
      <x:c r="A201" s="24" t="str">
        <x:v>P7.01</x:v>
      </x:c>
      <x:c r="B201" s="25" t="str">
        <x:v>REQUIRES_RESOURCE</x:v>
      </x:c>
      <x:c r="C201" s="25" t="str">
        <x:v>K047</x:v>
      </x:c>
      <x:c r="D201" s="25" t="str">
        <x:v>“买卖合同的成立与条款”可用于识别、预防或处理“检验地点与时间争议”。</x:v>
      </x:c>
      <x:c r="E201" s="26" t="str">
        <x:v>Puts the inspection clause among the contract terms, not in an email.</x:v>
      </x:c>
    </x:row>
    <x:row r="202">
      <x:c r="A202" s="24" t="str">
        <x:v>P7.02</x:v>
      </x:c>
      <x:c r="B202" s="25" t="str">
        <x:v>REQUIRES_RESOURCE</x:v>
      </x:c>
      <x:c r="C202" s="25" t="str">
        <x:v>K080</x:v>
      </x:c>
      <x:c r="D202" s="25" t="str">
        <x:v>“检验标准、方法与抽样”可用于识别、预防或处理“检验标准相互冲突”。</x:v>
      </x:c>
      <x:c r="E202" s="26" t="str">
        <x:v>Names one standard, method, and sampling plan as governing.</x:v>
      </x:c>
    </x:row>
    <x:row r="203">
      <x:c r="A203" s="24" t="str">
        <x:v>P7.02</x:v>
      </x:c>
      <x:c r="B203" s="25" t="str">
        <x:v>REQUIRES_RESOURCE</x:v>
      </x:c>
      <x:c r="C203" s="25" t="str">
        <x:v>K088</x:v>
      </x:c>
      <x:c r="D203" s="25" t="str">
        <x:v>“商品检验法规与质量控制”可用于识别、预防或处理“检验标准相互冲突”。</x:v>
      </x:c>
      <x:c r="E203" s="26" t="str">
        <x:v>Reconciles statutory vs contractual standards.</x:v>
      </x:c>
    </x:row>
    <x:row r="204">
      <x:c r="A204" s="24" t="str">
        <x:v>P7.02</x:v>
      </x:c>
      <x:c r="B204" s="25" t="str">
        <x:v>REQUIRES_RESOURCE</x:v>
      </x:c>
      <x:c r="C204" s="25" t="str">
        <x:v>K084</x:v>
      </x:c>
      <x:c r="D204" s="25" t="str">
        <x:v>“商品检验的跨文化差异”可用于识别、预防或处理“检验标准相互冲突”。</x:v>
      </x:c>
      <x:c r="E204" s="26" t="str">
        <x:v>Negotiates tolerance instead of assuming 'commercial difference'.</x:v>
      </x:c>
    </x:row>
    <x:row r="205">
      <x:c r="A205" s="24" t="str">
        <x:v>P7.02</x:v>
      </x:c>
      <x:c r="B205" s="25" t="str">
        <x:v>REQUIRES_STRATEGY</x:v>
      </x:c>
      <x:c r="C205" s="25" t="str">
        <x:v>K085</x:v>
      </x:c>
      <x:c r="D205" s="25" t="str">
        <x:v>运用“检验机构选择标准”应对“检验标准相互冲突”，把原则转化为可执行的谈判行动。</x:v>
      </x:c>
      <x:c r="E205" s="26" t="str">
        <x:v>Picks an agency both sides will recognise.</x:v>
      </x:c>
    </x:row>
    <x:row r="206">
      <x:c r="A206" s="24" t="str">
        <x:v>P7.03</x:v>
      </x:c>
      <x:c r="B206" s="25" t="str">
        <x:v>REQUIRES_RESOURCE</x:v>
      </x:c>
      <x:c r="C206" s="25" t="str">
        <x:v>K082</x:v>
      </x:c>
      <x:c r="D206" s="25" t="str">
        <x:v>“检验证书与单据”可用于识别、预防或处理“证书不符阻碍付款”。</x:v>
      </x:c>
      <x:c r="E206" s="26" t="str">
        <x:v>Matches certificate fields to L/C, invoice, and packing list.</x:v>
      </x:c>
    </x:row>
    <x:row r="207">
      <x:c r="A207" s="24" t="str">
        <x:v>P7.03</x:v>
      </x:c>
      <x:c r="B207" s="25" t="str">
        <x:v>REQUIRES_RESOURCE</x:v>
      </x:c>
      <x:c r="C207" s="25" t="str">
        <x:v>K066</x:v>
      </x:c>
      <x:c r="D207" s="25" t="str">
        <x:v>“信用证的开立、条款与解释”可用于识别、预防或处理“证书不符阻碍付款”。</x:v>
      </x:c>
      <x:c r="E207" s="26" t="str">
        <x:v>Treats a certificate typo as an L/C discrepancy.</x:v>
      </x:c>
    </x:row>
    <x:row r="208">
      <x:c r="A208" s="24" t="str">
        <x:v>P7.03</x:v>
      </x:c>
      <x:c r="B208" s="25" t="str">
        <x:v>REQUIRES_RESOURCE</x:v>
      </x:c>
      <x:c r="C208" s="25" t="str">
        <x:v>K083</x:v>
      </x:c>
      <x:c r="D208" s="25" t="str">
        <x:v>“检验争议与复验处理”可用于识别、预防或处理“证书不符阻碍付款”。</x:v>
      </x:c>
      <x:c r="E208" s="26" t="str">
        <x:v>Uses re-issuance or a joint survey rather than arguing with the bank.</x:v>
      </x:c>
    </x:row>
    <x:row r="209">
      <x:c r="A209" s="24" t="str">
        <x:v>P7.03</x:v>
      </x:c>
      <x:c r="B209" s="25" t="str">
        <x:v>REQUIRES_RESOURCE</x:v>
      </x:c>
      <x:c r="C209" s="25" t="str">
        <x:v>K077</x:v>
      </x:c>
      <x:c r="D209" s="25" t="str">
        <x:v>“国际银行业务与托收技巧”可用于识别、预防或处理“证书不符阻碍付款”。</x:v>
      </x:c>
      <x:c r="E209" s="26" t="str">
        <x:v>Presents a clean set or obtains a waiver.</x:v>
      </x:c>
    </x:row>
    <x:row r="210">
      <x:c r="A210" s="24" t="str">
        <x:v>P7.04</x:v>
      </x:c>
      <x:c r="B210" s="25" t="str">
        <x:v>REQUIRES_RESOURCE</x:v>
      </x:c>
      <x:c r="C210" s="25" t="str">
        <x:v>K086</x:v>
      </x:c>
      <x:c r="D210" s="25" t="str">
        <x:v>“检验费用及其分配”可用于识别、预防或处理“检验费用承担争议”。</x:v>
      </x:c>
      <x:c r="E210" s="26" t="str">
        <x:v>Allocates first inspection and re-inspection costs in the contract.</x:v>
      </x:c>
    </x:row>
    <x:row r="211">
      <x:c r="A211" s="24" t="str">
        <x:v>P7.04</x:v>
      </x:c>
      <x:c r="B211" s="25" t="str">
        <x:v>REQUIRES_RESOURCE</x:v>
      </x:c>
      <x:c r="C211" s="25" t="str">
        <x:v>K047</x:v>
      </x:c>
      <x:c r="D211" s="25" t="str">
        <x:v>“买卖合同的成立与条款”可用于识别、预防或处理“检验费用承担争议”。</x:v>
      </x:c>
      <x:c r="E211" s="26" t="str">
        <x:v>Makes the allocation a term, not a later goodwill talk.</x:v>
      </x:c>
    </x:row>
    <x:row r="212">
      <x:c r="A212" s="24" t="str">
        <x:v>P7.04</x:v>
      </x:c>
      <x:c r="B212" s="25" t="str">
        <x:v>REQUIRES_STRATEGY</x:v>
      </x:c>
      <x:c r="C212" s="25" t="str">
        <x:v>K085</x:v>
      </x:c>
      <x:c r="D212" s="25" t="str">
        <x:v>运用“检验机构选择标准”应对“检验费用承担争议”，把原则转化为可执行的谈判行动。</x:v>
      </x:c>
      <x:c r="E212" s="26" t="str">
        <x:v>Chooses an agency whose fee the allocation can actually bear.</x:v>
      </x:c>
    </x:row>
    <x:row r="213">
      <x:c r="A213" s="24" t="str">
        <x:v>P7.05</x:v>
      </x:c>
      <x:c r="B213" s="25" t="str">
        <x:v>REQUIRES_RESOURCE</x:v>
      </x:c>
      <x:c r="C213" s="25" t="str">
        <x:v>K083</x:v>
      </x:c>
      <x:c r="D213" s="25" t="str">
        <x:v>“检验争议与复验处理”可用于识别、预防或处理“产地检验合格但目的地不合格”。</x:v>
      </x:c>
      <x:c r="E213" s="26" t="str">
        <x:v>Opens the re-inspection and joint-survey path.</x:v>
      </x:c>
    </x:row>
    <x:row r="214">
      <x:c r="A214" s="24" t="str">
        <x:v>P7.05</x:v>
      </x:c>
      <x:c r="B214" s="25" t="str">
        <x:v>REQUIRES_RESOURCE</x:v>
      </x:c>
      <x:c r="C214" s="25" t="str">
        <x:v>K081</x:v>
      </x:c>
      <x:c r="D214" s="25" t="str">
        <x:v>“检验地点与时间”可用于识别、预防或处理“产地检验合格但目的地不合格”。</x:v>
      </x:c>
      <x:c r="E214" s="26" t="str">
        <x:v>Asks which inspection was agreed to be final.</x:v>
      </x:c>
    </x:row>
    <x:row r="215">
      <x:c r="A215" s="24" t="str">
        <x:v>P7.05</x:v>
      </x:c>
      <x:c r="B215" s="25" t="str">
        <x:v>REQUIRES_RESOURCE</x:v>
      </x:c>
      <x:c r="C215" s="25" t="str">
        <x:v>K087</x:v>
      </x:c>
      <x:c r="D215" s="25" t="str">
        <x:v>“检验与保险的关系”可用于识别、预防或处理“产地检验合格但目的地不合格”。</x:v>
      </x:c>
      <x:c r="E215" s="26" t="str">
        <x:v>Splits transit damage (insurance) from original non-conformity.</x:v>
      </x:c>
    </x:row>
    <x:row r="216">
      <x:c r="A216" s="24" t="str">
        <x:v>P7.05</x:v>
      </x:c>
      <x:c r="B216" s="25" t="str">
        <x:v>REQUIRES_RESOURCE</x:v>
      </x:c>
      <x:c r="C216" s="25" t="str">
        <x:v>K093</x:v>
      </x:c>
      <x:c r="D216" s="25" t="str">
        <x:v>“投保与保险索赔程序”可用于识别、预防或处理“产地检验合格但目的地不合格”。</x:v>
      </x:c>
      <x:c r="E216" s="26" t="str">
        <x:v>Files an insurance claim if the fail is a transit peril.</x:v>
      </x:c>
    </x:row>
    <x:row r="217">
      <x:c r="A217" s="24" t="str">
        <x:v>P7.05</x:v>
      </x:c>
      <x:c r="B217" s="25" t="str">
        <x:v>REQUIRES_RESOURCE</x:v>
      </x:c>
      <x:c r="C217" s="25" t="str">
        <x:v>K112</x:v>
      </x:c>
      <x:c r="D217" s="25" t="str">
        <x:v>“证据收集与证据链完整性”可用于识别、预防或处理“产地检验合格但目的地不合格”。</x:v>
      </x:c>
      <x:c r="E217" s="26" t="str">
        <x:v>Preserves the evidence chain between the two inspections.</x:v>
      </x:c>
    </x:row>
    <x:row r="218">
      <x:c r="A218" s="24" t="str">
        <x:v>P7.06</x:v>
      </x:c>
      <x:c r="B218" s="25" t="str">
        <x:v>REQUIRES_RESOURCE</x:v>
      </x:c>
      <x:c r="C218" s="25" t="str">
        <x:v>K080</x:v>
      </x:c>
      <x:c r="D218" s="25" t="str">
        <x:v>“检验标准、方法与抽样”可用于识别、预防或处理“抽样方法争议”。</x:v>
      </x:c>
      <x:c r="E218" s="26" t="str">
        <x:v>Fixes AQL, lot, and sealed-sample rules in advance.</x:v>
      </x:c>
    </x:row>
    <x:row r="219">
      <x:c r="A219" s="24" t="str">
        <x:v>P7.06</x:v>
      </x:c>
      <x:c r="B219" s="25" t="str">
        <x:v>REQUIRES_RESOURCE</x:v>
      </x:c>
      <x:c r="C219" s="25" t="str">
        <x:v>K083</x:v>
      </x:c>
      <x:c r="D219" s="25" t="str">
        <x:v>“检验争议与复验处理”可用于识别、预防或处理“抽样方法争议”。</x:v>
      </x:c>
      <x:c r="E219" s="26" t="str">
        <x:v>Re-samples under the contractual method rather than by argument.</x:v>
      </x:c>
    </x:row>
    <x:row r="220">
      <x:c r="A220" s="24" t="str">
        <x:v>P7.06</x:v>
      </x:c>
      <x:c r="B220" s="25" t="str">
        <x:v>REQUIRES_RESOURCE</x:v>
      </x:c>
      <x:c r="C220" s="25" t="str">
        <x:v>K084</x:v>
      </x:c>
      <x:c r="D220" s="25" t="str">
        <x:v>“商品检验的跨文化差异”可用于识别、预防或处理“抽样方法争议”。</x:v>
      </x:c>
      <x:c r="E220" s="26" t="str">
        <x:v>Handles cultural gaps in what 'representative' means.</x:v>
      </x:c>
    </x:row>
    <x:row r="221">
      <x:c r="A221" s="24" t="str">
        <x:v>P7.06</x:v>
      </x:c>
      <x:c r="B221" s="25" t="str">
        <x:v>REQUIRES_RESOURCE</x:v>
      </x:c>
      <x:c r="C221" s="25" t="str">
        <x:v>K088</x:v>
      </x:c>
      <x:c r="D221" s="25" t="str">
        <x:v>“商品检验法规与质量控制”可用于识别、预防或处理“抽样方法争议”。</x:v>
      </x:c>
      <x:c r="E221" s="26" t="str">
        <x:v>Checks whether a statutory sampling plan overrides the contract.</x:v>
      </x:c>
    </x:row>
    <x:row r="222">
      <x:c r="A222" s="24" t="str">
        <x:v>P7.07</x:v>
      </x:c>
      <x:c r="B222" s="25" t="str">
        <x:v>REQUIRES_RESOURCE</x:v>
      </x:c>
      <x:c r="C222" s="25" t="str">
        <x:v>K089</x:v>
      </x:c>
      <x:c r="D222" s="25" t="str">
        <x:v>“多国检验、认证与环保测试”可用于识别、预防或处理“多国认证或环保测试失败”。</x:v>
      </x:c>
      <x:c r="E222" s="26" t="str">
        <x:v>Plans multi-country and environmental tests on the critical path.</x:v>
      </x:c>
    </x:row>
    <x:row r="223">
      <x:c r="A223" s="24" t="str">
        <x:v>P7.07</x:v>
      </x:c>
      <x:c r="B223" s="25" t="str">
        <x:v>REQUIRES_STRATEGY</x:v>
      </x:c>
      <x:c r="C223" s="25" t="str">
        <x:v>K085</x:v>
      </x:c>
      <x:c r="D223" s="25" t="str">
        <x:v>运用“检验机构选择标准”应对“多国认证或环保测试失败”，把原则转化为可执行的谈判行动。</x:v>
      </x:c>
      <x:c r="E223" s="26" t="str">
        <x:v>Selects labs the destination will actually accept.</x:v>
      </x:c>
    </x:row>
    <x:row r="224">
      <x:c r="A224" s="24" t="str">
        <x:v>P7.07</x:v>
      </x:c>
      <x:c r="B224" s="25" t="str">
        <x:v>REQUIRES_RESOURCE</x:v>
      </x:c>
      <x:c r="C224" s="25" t="str">
        <x:v>K088</x:v>
      </x:c>
      <x:c r="D224" s="25" t="str">
        <x:v>“商品检验法规与质量控制”可用于识别、预防或处理“多国认证或环保测试失败”。</x:v>
      </x:c>
      <x:c r="E224" s="26" t="str">
        <x:v>Treats statutory certification as a legal gate, not a sales extra.</x:v>
      </x:c>
    </x:row>
    <x:row r="225">
      <x:c r="A225" s="24" t="str">
        <x:v>P7.07</x:v>
      </x:c>
      <x:c r="B225" s="25" t="str">
        <x:v>REQUIRES_RESOURCE</x:v>
      </x:c>
      <x:c r="C225" s="25" t="str">
        <x:v>K060</x:v>
      </x:c>
      <x:c r="D225" s="25" t="str">
        <x:v>“包装环保与监管要求”可用于识别、预防或处理“多国认证或环保测试失败”。</x:v>
      </x:c>
      <x:c r="E225" s="26" t="str">
        <x:v>Includes packing-related environmental rules in the same plan.</x:v>
      </x:c>
    </x:row>
    <x:row r="226">
      <x:c r="A226" s="24" t="str">
        <x:v>P7.07</x:v>
      </x:c>
      <x:c r="B226" s="25" t="str">
        <x:v>REQUIRES_RESOURCE</x:v>
      </x:c>
      <x:c r="C226" s="25" t="str">
        <x:v>K051</x:v>
      </x:c>
      <x:c r="D226" s="25" t="str">
        <x:v>“质量保证与售后服务”可用于识别、预防或处理“多国认证或环保测试失败”。</x:v>
      </x:c>
      <x:c r="E226" s="26" t="str">
        <x:v>Connects failed tests to QA and after-sales commitments.</x:v>
      </x:c>
    </x:row>
    <x:row r="227">
      <x:c r="A227" s="24" t="str">
        <x:v>P8.01</x:v>
      </x:c>
      <x:c r="B227" s="25" t="str">
        <x:v>REQUIRES_RESOURCE</x:v>
      </x:c>
      <x:c r="C227" s="25" t="str">
        <x:v>K090</x:v>
      </x:c>
      <x:c r="D227" s="25" t="str">
        <x:v>“货物运输保险的定义”可用于识别、预防或处理“不足额投保或险别与术语不匹配”。</x:v>
      </x:c>
      <x:c r="E227" s="26" t="str">
        <x:v>Reminds both sides that cargo insurance is a separate indemnity.</x:v>
      </x:c>
    </x:row>
    <x:row r="228">
      <x:c r="A228" s="24" t="str">
        <x:v>P8.01</x:v>
      </x:c>
      <x:c r="B228" s="25" t="str">
        <x:v>REQUIRES_STRATEGY</x:v>
      </x:c>
      <x:c r="C228" s="25" t="str">
        <x:v>K091</x:v>
      </x:c>
      <x:c r="D228" s="25" t="str">
        <x:v>运用“保险险别与承保范围选择”应对“不足额投保或险别与术语不匹配”，把原则转化为可执行的谈判行动。</x:v>
      </x:c>
      <x:c r="E228" s="26" t="str">
        <x:v>Selects Clause A/B/C (and add-ons) to the cargo and route.</x:v>
      </x:c>
    </x:row>
    <x:row r="229">
      <x:c r="A229" s="24" t="str">
        <x:v>P8.01</x:v>
      </x:c>
      <x:c r="B229" s="25" t="str">
        <x:v>REQUIRES_RESOURCE</x:v>
      </x:c>
      <x:c r="C229" s="25" t="str">
        <x:v>K016</x:v>
      </x:c>
      <x:c r="D229" s="25" t="str">
        <x:v>“FOB 条件”可用于识别、预防或处理“不足额投保或险别与术语不匹配”。</x:v>
      </x:c>
      <x:c r="E229" s="26" t="str">
        <x:v>Under FOB, puts the buyer on notice that insurance is theirs.</x:v>
      </x:c>
    </x:row>
    <x:row r="230">
      <x:c r="A230" s="24" t="str">
        <x:v>P8.01</x:v>
      </x:c>
      <x:c r="B230" s="25" t="str">
        <x:v>REQUIRES_RESOURCE</x:v>
      </x:c>
      <x:c r="C230" s="25" t="str">
        <x:v>K017</x:v>
      </x:c>
      <x:c r="D230" s="25" t="str">
        <x:v>“CIF 条件”可用于识别、预防或处理“不足额投保或险别与术语不匹配”。</x:v>
      </x:c>
      <x:c r="E230" s="26" t="str">
        <x:v>Under CIF, stops the seller from buying only minimum cover by default.</x:v>
      </x:c>
    </x:row>
    <x:row r="231">
      <x:c r="A231" s="24" t="str">
        <x:v>P8.01</x:v>
      </x:c>
      <x:c r="B231" s="25" t="str">
        <x:v>REQUIRES_RESOURCE</x:v>
      </x:c>
      <x:c r="C231" s="25" t="str">
        <x:v>K094</x:v>
      </x:c>
      <x:c r="D231" s="25" t="str">
        <x:v>“免赔额与国际保险条款”可用于识别、预防或处理“不足额投保或险别与术语不匹配”。</x:v>
      </x:c>
      <x:c r="E231" s="26" t="str">
        <x:v>Reads deductibles and Institute/CIC clauses before promising 'full cover'.</x:v>
      </x:c>
    </x:row>
    <x:row r="232">
      <x:c r="A232" s="24" t="str">
        <x:v>P8.01</x:v>
      </x:c>
      <x:c r="B232" s="25" t="str">
        <x:v>REQUIRES_RESOURCE</x:v>
      </x:c>
      <x:c r="C232" s="25" t="str">
        <x:v>K092</x:v>
      </x:c>
      <x:c r="D232" s="25" t="str">
        <x:v>“保险金额、估值与保费计算”可用于识别、预防或处理“不足额投保或险别与术语不匹配”。</x:v>
      </x:c>
      <x:c r="E232" s="26" t="str">
        <x:v>Sets CIF × 110% (or the agreed valuation) so average is not a surprise.</x:v>
      </x:c>
    </x:row>
    <x:row r="233">
      <x:c r="A233" s="24" t="str">
        <x:v>P8.02</x:v>
      </x:c>
      <x:c r="B233" s="25" t="str">
        <x:v>REQUIRES_RESOURCE</x:v>
      </x:c>
      <x:c r="C233" s="25" t="str">
        <x:v>K093</x:v>
      </x:c>
      <x:c r="D233" s="25" t="str">
        <x:v>“投保与保险索赔程序”可用于识别、预防或处理“索赔因程序或免赔额被拒”。</x:v>
      </x:c>
      <x:c r="E233" s="26" t="str">
        <x:v>Runs notice, survey, and document steps inside policy time.</x:v>
      </x:c>
    </x:row>
    <x:row r="234">
      <x:c r="A234" s="24" t="str">
        <x:v>P8.02</x:v>
      </x:c>
      <x:c r="B234" s="25" t="str">
        <x:v>REQUIRES_RESOURCE</x:v>
      </x:c>
      <x:c r="C234" s="25" t="str">
        <x:v>K094</x:v>
      </x:c>
      <x:c r="D234" s="25" t="str">
        <x:v>“免赔额与国际保险条款”可用于识别、预防或处理“索赔因程序或免赔额被拒”。</x:v>
      </x:c>
      <x:c r="E234" s="26" t="str">
        <x:v>Checks whether the loss is inside a deductible or exclusion.</x:v>
      </x:c>
    </x:row>
    <x:row r="235">
      <x:c r="A235" s="24" t="str">
        <x:v>P8.02</x:v>
      </x:c>
      <x:c r="B235" s="25" t="str">
        <x:v>REQUIRES_RESOURCE</x:v>
      </x:c>
      <x:c r="C235" s="25" t="str">
        <x:v>K092</x:v>
      </x:c>
      <x:c r="D235" s="25" t="str">
        <x:v>“保险金额、估值与保费计算”可用于识别、预防或处理“索赔因程序或免赔额被拒”。</x:v>
      </x:c>
      <x:c r="E235" s="26" t="str">
        <x:v>Recalculates recoverable amount after under-insurance/average.</x:v>
      </x:c>
    </x:row>
    <x:row r="236">
      <x:c r="A236" s="24" t="str">
        <x:v>P8.02</x:v>
      </x:c>
      <x:c r="B236" s="25" t="str">
        <x:v>REQUIRES_RESOURCE</x:v>
      </x:c>
      <x:c r="C236" s="25" t="str">
        <x:v>K112</x:v>
      </x:c>
      <x:c r="D236" s="25" t="str">
        <x:v>“证据收集与证据链完整性”可用于识别、预防或处理“索赔因程序或免赔额被拒”。</x:v>
      </x:c>
      <x:c r="E236" s="26" t="str">
        <x:v>Repairs what can still be repaired in the evidence chain.</x:v>
      </x:c>
    </x:row>
    <x:row r="237">
      <x:c r="A237" s="24" t="str">
        <x:v>P8.02</x:v>
      </x:c>
      <x:c r="B237" s="25" t="str">
        <x:v>REQUIRES_RESOURCE</x:v>
      </x:c>
      <x:c r="C237" s="25" t="str">
        <x:v>K058</x:v>
      </x:c>
      <x:c r="D237" s="25" t="str">
        <x:v>“装运通知与货物跟踪”可用于识别、预防或处理“索赔因程序或免赔额被拒”。</x:v>
      </x:c>
      <x:c r="E237" s="26" t="str">
        <x:v>Uses the shipping advice as part of the claim file.</x:v>
      </x:c>
    </x:row>
    <x:row r="238">
      <x:c r="A238" s="24" t="str">
        <x:v>P8.03</x:v>
      </x:c>
      <x:c r="B238" s="25" t="str">
        <x:v>REQUIRES_RESOURCE</x:v>
      </x:c>
      <x:c r="C238" s="25" t="str">
        <x:v>K097</x:v>
      </x:c>
      <x:c r="D238" s="25" t="str">
        <x:v>“仲裁条款起草”可用于识别、预防或处理“仲裁条款缺失或含糊”。</x:v>
      </x:c>
      <x:c r="E238" s="26" t="str">
        <x:v>Drafts a complete clause: institution, seat, language, law, arbitrators.</x:v>
      </x:c>
    </x:row>
    <x:row r="239">
      <x:c r="A239" s="24" t="str">
        <x:v>P8.03</x:v>
      </x:c>
      <x:c r="B239" s="25" t="str">
        <x:v>REQUIRES_RESOURCE</x:v>
      </x:c>
      <x:c r="C239" s="25" t="str">
        <x:v>K095</x:v>
      </x:c>
      <x:c r="D239" s="25" t="str">
        <x:v>“仲裁的定义与优势”可用于识别、预防或处理“仲裁条款缺失或含糊”。</x:v>
      </x:c>
      <x:c r="E239" s="26" t="str">
        <x:v>Explains why a private path is being added at all.</x:v>
      </x:c>
    </x:row>
    <x:row r="240">
      <x:c r="A240" s="24" t="str">
        <x:v>P8.03</x:v>
      </x:c>
      <x:c r="B240" s="25" t="str">
        <x:v>REQUIRES_RESOURCE</x:v>
      </x:c>
      <x:c r="C240" s="25" t="str">
        <x:v>K047</x:v>
      </x:c>
      <x:c r="D240" s="25" t="str">
        <x:v>“买卖合同的成立与条款”可用于识别、预防或处理“仲裁条款缺失或含糊”。</x:v>
      </x:c>
      <x:c r="E240" s="26" t="str">
        <x:v>Places the clause in the contract terms, not in a side email.</x:v>
      </x:c>
    </x:row>
    <x:row r="241">
      <x:c r="A241" s="24" t="str">
        <x:v>P8.03</x:v>
      </x:c>
      <x:c r="B241" s="25" t="str">
        <x:v>REQUIRES_RESOURCE</x:v>
      </x:c>
      <x:c r="C241" s="25" t="str">
        <x:v>K099</x:v>
      </x:c>
      <x:c r="D241" s="25" t="str">
        <x:v>“准据法与管辖权”可用于识别、预防或处理“仲裁条款缺失或含糊”。</x:v>
      </x:c>
      <x:c r="E241" s="26" t="str">
        <x:v>Fills governing law so the blank does not become a second fight.</x:v>
      </x:c>
    </x:row>
    <x:row r="242">
      <x:c r="A242" s="24" t="str">
        <x:v>P8.04</x:v>
      </x:c>
      <x:c r="B242" s="25" t="str">
        <x:v>REQUIRES_STRATEGY</x:v>
      </x:c>
      <x:c r="C242" s="25" t="str">
        <x:v>K096</x:v>
      </x:c>
      <x:c r="D242" s="25" t="str">
        <x:v>运用“仲裁制度与机构选择”应对“仲裁地不当导致裁决难执行”，把原则转化为可执行的谈判行动。</x:v>
      </x:c>
      <x:c r="E242" s="26" t="str">
        <x:v>Picks an institution and seat with a real enforcement path.</x:v>
      </x:c>
    </x:row>
    <x:row r="243">
      <x:c r="A243" s="24" t="str">
        <x:v>P8.04</x:v>
      </x:c>
      <x:c r="B243" s="25" t="str">
        <x:v>REQUIRES_RESOURCE</x:v>
      </x:c>
      <x:c r="C243" s="25" t="str">
        <x:v>K098</x:v>
      </x:c>
      <x:c r="D243" s="25" t="str">
        <x:v>“仲裁程序、费用与裁决执行”可用于识别、预防或处理“仲裁地不当导致裁决难执行”。</x:v>
      </x:c>
      <x:c r="E243" s="26" t="str">
        <x:v>Maps New York Convention enforcement against the counterpart’s assets.</x:v>
      </x:c>
    </x:row>
    <x:row r="244">
      <x:c r="A244" s="24" t="str">
        <x:v>P8.04</x:v>
      </x:c>
      <x:c r="B244" s="25" t="str">
        <x:v>REQUIRES_RESOURCE</x:v>
      </x:c>
      <x:c r="C244" s="25" t="str">
        <x:v>K099</x:v>
      </x:c>
      <x:c r="D244" s="25" t="str">
        <x:v>“准据法与管辖权”可用于识别、预防或处理“仲裁地不当导致裁决难执行”。</x:v>
      </x:c>
      <x:c r="E244" s="26" t="str">
        <x:v>Separates seat, governing law, and court of support.</x:v>
      </x:c>
    </x:row>
    <x:row r="245">
      <x:c r="A245" s="24" t="str">
        <x:v>P8.04</x:v>
      </x:c>
      <x:c r="B245" s="25" t="str">
        <x:v>REQUIRES_RESOURCE</x:v>
      </x:c>
      <x:c r="C245" s="25" t="str">
        <x:v>K097</x:v>
      </x:c>
      <x:c r="D245" s="25" t="str">
        <x:v>“仲裁条款起草”可用于识别、预防或处理“仲裁地不当导致裁决难执行”。</x:v>
      </x:c>
      <x:c r="E245" s="26" t="str">
        <x:v>Rewrites a pathological clause before a dispute exists.</x:v>
      </x:c>
    </x:row>
    <x:row r="246">
      <x:c r="A246" s="24" t="str">
        <x:v>P8.05</x:v>
      </x:c>
      <x:c r="B246" s="25" t="str">
        <x:v>REQUIRES_RESOURCE</x:v>
      </x:c>
      <x:c r="C246" s="25" t="str">
        <x:v>K095</x:v>
      </x:c>
      <x:c r="D246" s="25" t="str">
        <x:v>“仲裁的定义与优势”可用于识别、预防或处理“诉讼与仲裁选择分歧”。</x:v>
      </x:c>
      <x:c r="E246" s="26" t="str">
        <x:v>States the advantages of arbitration in commercial terms.</x:v>
      </x:c>
    </x:row>
    <x:row r="247">
      <x:c r="A247" s="24" t="str">
        <x:v>P8.05</x:v>
      </x:c>
      <x:c r="B247" s="25" t="str">
        <x:v>REQUIRES_RESOURCE</x:v>
      </x:c>
      <x:c r="C247" s="25" t="str">
        <x:v>K100</x:v>
      </x:c>
      <x:c r="D247" s="25" t="str">
        <x:v>“保险与仲裁的跨文化差异”可用于识别、预防或处理“诉讼与仲裁选择分歧”。</x:v>
      </x:c>
      <x:c r="E247" s="26" t="str">
        <x:v>Frames the clause as fairness, not as distrust.</x:v>
      </x:c>
    </x:row>
    <x:row r="248">
      <x:c r="A248" s="24" t="str">
        <x:v>P8.05</x:v>
      </x:c>
      <x:c r="B248" s="25" t="str">
        <x:v>REQUIRES_STRATEGY</x:v>
      </x:c>
      <x:c r="C248" s="25" t="str">
        <x:v>K096</x:v>
      </x:c>
      <x:c r="D248" s="25" t="str">
        <x:v>运用“仲裁制度与机构选择”应对“诉讼与仲裁选择分歧”，把原则转化为可执行的谈判行动。</x:v>
      </x:c>
      <x:c r="E248" s="26" t="str">
        <x:v>Offers a neutral institution as the compromise.</x:v>
      </x:c>
    </x:row>
    <x:row r="249">
      <x:c r="A249" s="24" t="str">
        <x:v>P8.05</x:v>
      </x:c>
      <x:c r="B249" s="25" t="str">
        <x:v>REQUIRES_RESOURCE</x:v>
      </x:c>
      <x:c r="C249" s="25" t="str">
        <x:v>K109</x:v>
      </x:c>
      <x:c r="D249" s="25" t="str">
        <x:v>“根因分析与争议调解”可用于识别、预防或处理“诉讼与仲裁选择分歧”。</x:v>
      </x:c>
      <x:c r="E249" s="26" t="str">
        <x:v>Keeps mediation as a step before either court or tribunal.</x:v>
      </x:c>
    </x:row>
    <x:row r="250">
      <x:c r="A250" s="24" t="str">
        <x:v>P8.06</x:v>
      </x:c>
      <x:c r="B250" s="25" t="str">
        <x:v>REQUIRES_RESOURCE</x:v>
      </x:c>
      <x:c r="C250" s="25" t="str">
        <x:v>K114</x:v>
      </x:c>
      <x:c r="D250" s="25" t="str">
        <x:v>“不可抗力条款与案例”可用于识别、预防或处理“保险损失与不可抗力混淆”。</x:v>
      </x:c>
      <x:c r="E250" s="26" t="str">
        <x:v>Defines FM so an insured transit loss is not dressed up as FM.</x:v>
      </x:c>
    </x:row>
    <x:row r="251">
      <x:c r="A251" s="24" t="str">
        <x:v>P8.06</x:v>
      </x:c>
      <x:c r="B251" s="25" t="str">
        <x:v>REQUIRES_RESOURCE</x:v>
      </x:c>
      <x:c r="C251" s="25" t="str">
        <x:v>K090</x:v>
      </x:c>
      <x:c r="D251" s="25" t="str">
        <x:v>“货物运输保险的定义”可用于识别、预防或处理“保险损失与不可抗力混淆”。</x:v>
      </x:c>
      <x:c r="E251" s="26" t="str">
        <x:v>Keeps the insurance claim on the insurance contract.</x:v>
      </x:c>
    </x:row>
    <x:row r="252">
      <x:c r="A252" s="24" t="str">
        <x:v>P8.06</x:v>
      </x:c>
      <x:c r="B252" s="25" t="str">
        <x:v>REQUIRES_RESOURCE</x:v>
      </x:c>
      <x:c r="C252" s="25" t="str">
        <x:v>K050</x:v>
      </x:c>
      <x:c r="D252" s="25" t="str">
        <x:v>“合同免责条款”可用于识别、预防或处理“保险损失与不可抗力混淆”。</x:v>
      </x:c>
      <x:c r="E252" s="26" t="str">
        <x:v>Reads the exemption clause against the same facts.</x:v>
      </x:c>
    </x:row>
    <x:row r="253">
      <x:c r="A253" s="24" t="str">
        <x:v>P8.06</x:v>
      </x:c>
      <x:c r="B253" s="25" t="str">
        <x:v>REQUIRES_RESOURCE</x:v>
      </x:c>
      <x:c r="C253" s="25" t="str">
        <x:v>K074</x:v>
      </x:c>
      <x:c r="D253" s="25" t="str">
        <x:v>“交付迟延与合同违约”可用于识别、预防或处理“保险损失与不可抗力混淆”。</x:v>
      </x:c>
      <x:c r="E253" s="26" t="str">
        <x:v>If it is ordinary delay, treats it as breach, not as FM.</x:v>
      </x:c>
    </x:row>
    <x:row r="254">
      <x:c r="A254" s="24" t="str">
        <x:v>P8.07</x:v>
      </x:c>
      <x:c r="B254" s="25" t="str">
        <x:v>REQUIRES_RESOURCE</x:v>
      </x:c>
      <x:c r="C254" s="25" t="str">
        <x:v>K098</x:v>
      </x:c>
      <x:c r="D254" s="25" t="str">
        <x:v>“仲裁程序、费用与裁决执行”可用于识别、预防或处理“仲裁成本与周期失控”。</x:v>
      </x:c>
      <x:c r="E254" s="26" t="str">
        <x:v>Compares tribunal cost and time with the amount in dispute.</x:v>
      </x:c>
    </x:row>
    <x:row r="255">
      <x:c r="A255" s="24" t="str">
        <x:v>P8.07</x:v>
      </x:c>
      <x:c r="B255" s="25" t="str">
        <x:v>REQUIRES_STRATEGY</x:v>
      </x:c>
      <x:c r="C255" s="25" t="str">
        <x:v>K096</x:v>
      </x:c>
      <x:c r="D255" s="25" t="str">
        <x:v>运用“仲裁制度与机构选择”应对“仲裁成本与周期失控”，把原则转化为可执行的谈判行动。</x:v>
      </x:c>
      <x:c r="E255" s="26" t="str">
        <x:v>Chooses a leaner institution or expedited rules.</x:v>
      </x:c>
    </x:row>
    <x:row r="256">
      <x:c r="A256" s="24" t="str">
        <x:v>P8.07</x:v>
      </x:c>
      <x:c r="B256" s="25" t="str">
        <x:v>REQUIRES_STRATEGY</x:v>
      </x:c>
      <x:c r="C256" s="25" t="str">
        <x:v>K118</x:v>
      </x:c>
      <x:c r="D256" s="25" t="str">
        <x:v>运用“索赔谈判、和解、调解与诉讼”应对“仲裁成本与周期失控”，把原则转化为可执行的谈判行动。</x:v>
      </x:c>
      <x:c r="E256" s="26" t="str">
        <x:v>Prefers settlement or mediation when the file is not worth a full arbitration.</x:v>
      </x:c>
    </x:row>
    <x:row r="257">
      <x:c r="A257" s="24" t="str">
        <x:v>P8.07</x:v>
      </x:c>
      <x:c r="B257" s="25" t="str">
        <x:v>REQUIRES_RESOURCE</x:v>
      </x:c>
      <x:c r="C257" s="25" t="str">
        <x:v>K109</x:v>
      </x:c>
      <x:c r="D257" s="25" t="str">
        <x:v>“根因分析与争议调解”可用于识别、预防或处理“仲裁成本与周期失控”。</x:v>
      </x:c>
      <x:c r="E257" s="26" t="str">
        <x:v>Uses mediation as the cheaper first step.</x:v>
      </x:c>
    </x:row>
    <x:row r="258">
      <x:c r="A258" s="24" t="str">
        <x:v>P9.01</x:v>
      </x:c>
      <x:c r="B258" s="25" t="str">
        <x:v>REQUIRES_RESOURCE</x:v>
      </x:c>
      <x:c r="C258" s="25" t="str">
        <x:v>K078</x:v>
      </x:c>
      <x:c r="D258" s="25" t="str">
        <x:v>“商品检验的定义”可用于识别、预防或处理“到货质量或数量投诉”。</x:v>
      </x:c>
      <x:c r="E258" s="26" t="str">
        <x:v>Frames a quality complaint as an inspection outcome, not only as a feeling.</x:v>
      </x:c>
    </x:row>
    <x:row r="259">
      <x:c r="A259" s="24" t="str">
        <x:v>P9.01</x:v>
      </x:c>
      <x:c r="B259" s="25" t="str">
        <x:v>REQUIRES_RESOURCE</x:v>
      </x:c>
      <x:c r="C259" s="25" t="str">
        <x:v>K101</x:v>
      </x:c>
      <x:c r="D259" s="25" t="str">
        <x:v>“投诉的定义与分类”可用于识别、预防或处理“到货质量或数量投诉”。</x:v>
      </x:c>
      <x:c r="E259" s="26" t="str">
        <x:v>Classifies the complaint (quality, quantity, packing) before reacting.</x:v>
      </x:c>
    </x:row>
    <x:row r="260">
      <x:c r="A260" s="24" t="str">
        <x:v>P9.01</x:v>
      </x:c>
      <x:c r="B260" s="25" t="str">
        <x:v>REQUIRES_RESOURCE</x:v>
      </x:c>
      <x:c r="C260" s="25" t="str">
        <x:v>K102</x:v>
      </x:c>
      <x:c r="D260" s="25" t="str">
        <x:v>“投诉处理原则与流程”可用于识别、预防或处理“到货质量或数量投诉”。</x:v>
      </x:c>
      <x:c r="E260" s="26" t="str">
        <x:v>Runs the handling process: acknowledge, freeze facts, respond.</x:v>
      </x:c>
    </x:row>
    <x:row r="261">
      <x:c r="A261" s="24" t="str">
        <x:v>P9.01</x:v>
      </x:c>
      <x:c r="B261" s="25" t="str">
        <x:v>REQUIRES_RESOURCE</x:v>
      </x:c>
      <x:c r="C261" s="25" t="str">
        <x:v>K111</x:v>
      </x:c>
      <x:c r="D261" s="25" t="str">
        <x:v>“索赔程序”可用于识别、预防或处理“到货质量或数量投诉”。</x:v>
      </x:c>
      <x:c r="E261" s="26" t="str">
        <x:v>Promotes a justified complaint into a formal claim on time.</x:v>
      </x:c>
    </x:row>
    <x:row r="262">
      <x:c r="A262" s="24" t="str">
        <x:v>P9.01</x:v>
      </x:c>
      <x:c r="B262" s="25" t="str">
        <x:v>REQUIRES_RESOURCE</x:v>
      </x:c>
      <x:c r="C262" s="25" t="str">
        <x:v>K112</x:v>
      </x:c>
      <x:c r="D262" s="25" t="str">
        <x:v>“证据收集与证据链完整性”可用于识别、预防或处理“到货质量或数量投诉”。</x:v>
      </x:c>
      <x:c r="E262" s="26" t="str">
        <x:v>Starts the evidence file at the first email, not after positions harden.</x:v>
      </x:c>
    </x:row>
    <x:row r="263">
      <x:c r="A263" s="24" t="str">
        <x:v>P9.01</x:v>
      </x:c>
      <x:c r="B263" s="25" t="str">
        <x:v>REQUIRES_RESOURCE</x:v>
      </x:c>
      <x:c r="C263" s="25" t="str">
        <x:v>K083</x:v>
      </x:c>
      <x:c r="D263" s="25" t="str">
        <x:v>“检验争议与复验处理”可用于识别、预防或处理“到货质量或数量投诉”。</x:v>
      </x:c>
      <x:c r="E263" s="26" t="str">
        <x:v>Calls a joint survey if the complaint is an inspection result.</x:v>
      </x:c>
    </x:row>
    <x:row r="264">
      <x:c r="A264" s="24" t="str">
        <x:v>P9.02</x:v>
      </x:c>
      <x:c r="B264" s="25" t="str">
        <x:v>REQUIRES_STRATEGY</x:v>
      </x:c>
      <x:c r="C264" s="25" t="str">
        <x:v>K103</x:v>
      </x:c>
      <x:c r="D264" s="25" t="str">
        <x:v>运用“沟通、倾听与客户服务语言”应对“情绪化投诉升级与声誉风险”，把原则转化为可执行的谈判行动。</x:v>
      </x:c>
      <x:c r="E264" s="26" t="str">
        <x:v>De-escalates with listening language before arguing the file.</x:v>
      </x:c>
    </x:row>
    <x:row r="265">
      <x:c r="A265" s="24" t="str">
        <x:v>P9.02</x:v>
      </x:c>
      <x:c r="B265" s="25" t="str">
        <x:v>REQUIRES_STRATEGY</x:v>
      </x:c>
      <x:c r="C265" s="25" t="str">
        <x:v>K104</x:v>
      </x:c>
      <x:c r="D265" s="25" t="str">
        <x:v>运用“客户心理分析与服务补救”应对“情绪化投诉升级与声誉风险”，把原则转化为可执行的谈判行动。</x:v>
      </x:c>
      <x:c r="E265" s="26" t="str">
        <x:v>Applies service recovery when the complaint is justified.</x:v>
      </x:c>
    </x:row>
    <x:row r="266">
      <x:c r="A266" s="24" t="str">
        <x:v>P9.02</x:v>
      </x:c>
      <x:c r="B266" s="25" t="str">
        <x:v>REQUIRES_RESOURCE</x:v>
      </x:c>
      <x:c r="C266" s="25" t="str">
        <x:v>K108</x:v>
      </x:c>
      <x:c r="D266" s="25" t="str">
        <x:v>“投诉法律风险与声誉管理”可用于识别、预防或处理“情绪化投诉升级与声誉风险”。</x:v>
      </x:c>
      <x:c r="E266" s="26" t="str">
        <x:v>Splits the care channel from the legal-notice channel.</x:v>
      </x:c>
    </x:row>
    <x:row r="267">
      <x:c r="A267" s="24" t="str">
        <x:v>P9.02</x:v>
      </x:c>
      <x:c r="B267" s="25" t="str">
        <x:v>REQUIRES_RESOURCE</x:v>
      </x:c>
      <x:c r="C267" s="25" t="str">
        <x:v>K106</x:v>
      </x:c>
      <x:c r="D267" s="25" t="str">
        <x:v>“投诉处理的跨文化差异”可用于识别、预防或处理“情绪化投诉升级与声誉风险”。</x:v>
      </x:c>
      <x:c r="E267" s="26" t="str">
        <x:v>Chooses a culturally safe public vs private response.</x:v>
      </x:c>
    </x:row>
    <x:row r="268">
      <x:c r="A268" s="24" t="str">
        <x:v>P9.03</x:v>
      </x:c>
      <x:c r="B268" s="25" t="str">
        <x:v>REQUIRES_RESOURCE</x:v>
      </x:c>
      <x:c r="C268" s="25" t="str">
        <x:v>K113</x:v>
      </x:c>
      <x:c r="D268" s="25" t="str">
        <x:v>“索赔与诉讼时效”可用于识别、预防或处理“超过时效提出索赔”。</x:v>
      </x:c>
      <x:c r="E268" s="26" t="str">
        <x:v>Diaries contractual notice and statutory limitation as two clocks.</x:v>
      </x:c>
    </x:row>
    <x:row r="269">
      <x:c r="A269" s="24" t="str">
        <x:v>P9.03</x:v>
      </x:c>
      <x:c r="B269" s="25" t="str">
        <x:v>REQUIRES_RESOURCE</x:v>
      </x:c>
      <x:c r="C269" s="25" t="str">
        <x:v>K111</x:v>
      </x:c>
      <x:c r="D269" s="25" t="str">
        <x:v>“索赔程序”可用于识别、预防或处理“超过时效提出索赔”。</x:v>
      </x:c>
      <x:c r="E269" s="26" t="str">
        <x:v>Shows why late filing is usually fatal.</x:v>
      </x:c>
    </x:row>
    <x:row r="270">
      <x:c r="A270" s="24" t="str">
        <x:v>P9.03</x:v>
      </x:c>
      <x:c r="B270" s="25" t="str">
        <x:v>REQUIRES_RESOURCE</x:v>
      </x:c>
      <x:c r="C270" s="25" t="str">
        <x:v>K110</x:v>
      </x:c>
      <x:c r="D270" s="25" t="str">
        <x:v>“索赔的定义”可用于识别、预防或处理“超过时效提出索赔”。</x:v>
      </x:c>
      <x:c r="E270" s="26" t="str">
        <x:v>Confirms whether a claim, as opposed to a complaint, was ever made.</x:v>
      </x:c>
    </x:row>
    <x:row r="271">
      <x:c r="A271" s="24" t="str">
        <x:v>P9.03</x:v>
      </x:c>
      <x:c r="B271" s="25" t="str">
        <x:v>REQUIRES_RESOURCE</x:v>
      </x:c>
      <x:c r="C271" s="25" t="str">
        <x:v>K098</x:v>
      </x:c>
      <x:c r="D271" s="25" t="str">
        <x:v>“仲裁程序、费用与裁决执行”可用于识别、预防或处理“超过时效提出索赔”。</x:v>
      </x:c>
      <x:c r="E271" s="26" t="str">
        <x:v>If still in time for arbitration, files before the seat’s clock dies.</x:v>
      </x:c>
    </x:row>
    <x:row r="272">
      <x:c r="A272" s="24" t="str">
        <x:v>P9.04</x:v>
      </x:c>
      <x:c r="B272" s="25" t="str">
        <x:v>REQUIRES_RESOURCE</x:v>
      </x:c>
      <x:c r="C272" s="25" t="str">
        <x:v>K112</x:v>
      </x:c>
      <x:c r="D272" s="25" t="str">
        <x:v>“证据收集与证据链完整性”可用于识别、预防或处理“证据链断裂”。</x:v>
      </x:c>
      <x:c r="E272" s="26" t="str">
        <x:v>Rebuilds or, if broken, documents the gap honestly.</x:v>
      </x:c>
    </x:row>
    <x:row r="273">
      <x:c r="A273" s="24" t="str">
        <x:v>P9.04</x:v>
      </x:c>
      <x:c r="B273" s="25" t="str">
        <x:v>REQUIRES_RESOURCE</x:v>
      </x:c>
      <x:c r="C273" s="25" t="str">
        <x:v>K082</x:v>
      </x:c>
      <x:c r="D273" s="25" t="str">
        <x:v>“检验证书与单据”可用于识别、预防或处理“证据链断裂”。</x:v>
      </x:c>
      <x:c r="E273" s="26" t="str">
        <x:v>Uses inspection certificates as part of the chain.</x:v>
      </x:c>
    </x:row>
    <x:row r="274">
      <x:c r="A274" s="24" t="str">
        <x:v>P9.04</x:v>
      </x:c>
      <x:c r="B274" s="25" t="str">
        <x:v>REQUIRES_RESOURCE</x:v>
      </x:c>
      <x:c r="C274" s="25" t="str">
        <x:v>K058</x:v>
      </x:c>
      <x:c r="D274" s="25" t="str">
        <x:v>“装运通知与货物跟踪”可用于识别、预防或处理“证据链断裂”。</x:v>
      </x:c>
      <x:c r="E274" s="26" t="str">
        <x:v>Uses shipping advice, seals, and tracking as links.</x:v>
      </x:c>
    </x:row>
    <x:row r="275">
      <x:c r="A275" s="24" t="str">
        <x:v>P9.04</x:v>
      </x:c>
      <x:c r="B275" s="25" t="str">
        <x:v>REQUIRES_RESOURCE</x:v>
      </x:c>
      <x:c r="C275" s="25" t="str">
        <x:v>K093</x:v>
      </x:c>
      <x:c r="D275" s="25" t="str">
        <x:v>“投保与保险索赔程序”可用于识别、预防或处理“证据链断裂”。</x:v>
      </x:c>
      <x:c r="E275" s="26" t="str">
        <x:v>Meets the insurer’s evidence list.</x:v>
      </x:c>
    </x:row>
    <x:row r="276">
      <x:c r="A276" s="24" t="str">
        <x:v>P9.04</x:v>
      </x:c>
      <x:c r="B276" s="25" t="str">
        <x:v>REQUIRES_RESOURCE</x:v>
      </x:c>
      <x:c r="C276" s="25" t="str">
        <x:v>K111</x:v>
      </x:c>
      <x:c r="D276" s="25" t="str">
        <x:v>“索赔程序”可用于识别、预防或处理“证据链断裂”。</x:v>
      </x:c>
      <x:c r="E276" s="26" t="str">
        <x:v>Will not file a quantified claim on a file that cannot prove loss.</x:v>
      </x:c>
    </x:row>
    <x:row r="277">
      <x:c r="A277" s="24" t="str">
        <x:v>P9.05</x:v>
      </x:c>
      <x:c r="B277" s="25" t="str">
        <x:v>REQUIRES_RESOURCE</x:v>
      </x:c>
      <x:c r="C277" s="25" t="str">
        <x:v>K114</x:v>
      </x:c>
      <x:c r="D277" s="25" t="str">
        <x:v>“不可抗力条款与案例”可用于识别、预防或处理“不当援引不可抗力”。</x:v>
      </x:c>
      <x:c r="E277" s="26" t="str">
        <x:v>Applies the unforeseeable/unavoidable test and the notice duty.</x:v>
      </x:c>
    </x:row>
    <x:row r="278">
      <x:c r="A278" s="24" t="str">
        <x:v>P9.05</x:v>
      </x:c>
      <x:c r="B278" s="25" t="str">
        <x:v>REQUIRES_RESOURCE</x:v>
      </x:c>
      <x:c r="C278" s="25" t="str">
        <x:v>K050</x:v>
      </x:c>
      <x:c r="D278" s="25" t="str">
        <x:v>“合同免责条款”可用于识别、预防或处理“不当援引不可抗力”。</x:v>
      </x:c>
      <x:c r="E278" s="26" t="str">
        <x:v>Reads the actual exemption clause, not a slogan.</x:v>
      </x:c>
    </x:row>
    <x:row r="279">
      <x:c r="A279" s="24" t="str">
        <x:v>P9.05</x:v>
      </x:c>
      <x:c r="B279" s="25" t="str">
        <x:v>REQUIRES_RESOURCE</x:v>
      </x:c>
      <x:c r="C279" s="25" t="str">
        <x:v>K074</x:v>
      </x:c>
      <x:c r="D279" s="25" t="str">
        <x:v>“交付迟延与合同违约”可用于识别、预防或处理“不当援引不可抗力”。</x:v>
      </x:c>
      <x:c r="E279" s="26" t="str">
        <x:v>Treats a failed FM defence as a delay breach.</x:v>
      </x:c>
    </x:row>
    <x:row r="280">
      <x:c r="A280" s="24" t="str">
        <x:v>P9.05</x:v>
      </x:c>
      <x:c r="B280" s="25" t="str">
        <x:v>REQUIRES_RESOURCE</x:v>
      </x:c>
      <x:c r="C280" s="25" t="str">
        <x:v>K108</x:v>
      </x:c>
      <x:c r="D280" s="25" t="str">
        <x:v>“投诉法律风险与声誉管理”可用于识别、预防或处理“不当援引不可抗力”。</x:v>
      </x:c>
      <x:c r="E280" s="26" t="str">
        <x:v>Avoids public FM claims that later look like admissions of non-performance.</x:v>
      </x:c>
    </x:row>
    <x:row r="281">
      <x:c r="A281" s="24" t="str">
        <x:v>P9.06</x:v>
      </x:c>
      <x:c r="B281" s="25" t="str">
        <x:v>REQUIRES_RESOURCE</x:v>
      </x:c>
      <x:c r="C281" s="25" t="str">
        <x:v>K115</x:v>
      </x:c>
      <x:c r="D281" s="25" t="str">
        <x:v>“赔偿金额计算”可用于识别、预防或处理“赔偿金额谈判僵局”。</x:v>
      </x:c>
      <x:c r="E281" s="26" t="str">
        <x:v>Puts an auditable Art. 74 calculation on the table.</x:v>
      </x:c>
    </x:row>
    <x:row r="282">
      <x:c r="A282" s="24" t="str">
        <x:v>P9.06</x:v>
      </x:c>
      <x:c r="B282" s="25" t="str">
        <x:v>REQUIRES_STRATEGY</x:v>
      </x:c>
      <x:c r="C282" s="25" t="str">
        <x:v>K118</x:v>
      </x:c>
      <x:c r="D282" s="25" t="str">
        <x:v>运用“索赔谈判、和解、调解与诉讼”应对“赔偿金额谈判僵局”，把原则转化为可执行的谈判行动。</x:v>
      </x:c>
      <x:c r="E282" s="26" t="str">
        <x:v>Negotiates quantum with a BATNA of mediation or arbitration.</x:v>
      </x:c>
    </x:row>
    <x:row r="283">
      <x:c r="A283" s="24" t="str">
        <x:v>P9.06</x:v>
      </x:c>
      <x:c r="B283" s="25" t="str">
        <x:v>REQUIRES_RESOURCE</x:v>
      </x:c>
      <x:c r="C283" s="25" t="str">
        <x:v>K109</x:v>
      </x:c>
      <x:c r="D283" s="25" t="str">
        <x:v>“根因分析与争议调解”可用于识别、预防或处理“赔偿金额谈判僵局”。</x:v>
      </x:c>
      <x:c r="E283" s="26" t="str">
        <x:v>Offers mediation when liability is agreed but numbers are not.</x:v>
      </x:c>
    </x:row>
    <x:row r="284">
      <x:c r="A284" s="24" t="str">
        <x:v>P9.06</x:v>
      </x:c>
      <x:c r="B284" s="25" t="str">
        <x:v>REQUIRES_STRATEGY</x:v>
      </x:c>
      <x:c r="C284" s="25" t="str">
        <x:v>K030</x:v>
      </x:c>
      <x:c r="D284" s="25" t="str">
        <x:v>运用“互惠让步策略”应对“赔偿金额谈判僵局”，把原则转化为可执行的谈判行动。</x:v>
      </x:c>
      <x:c r="E284" s="26" t="str">
        <x:v>Trades payment timing, currency, or volume against the claim amount.</x:v>
      </x:c>
    </x:row>
    <x:row r="285">
      <x:c r="A285" s="24" t="str">
        <x:v>P9.06</x:v>
      </x:c>
      <x:c r="B285" s="25" t="str">
        <x:v>REQUIRES_STRATEGY</x:v>
      </x:c>
      <x:c r="C285" s="25" t="str">
        <x:v>K104</x:v>
      </x:c>
      <x:c r="D285" s="25" t="str">
        <x:v>运用“客户心理分析与服务补救”应对“赔偿金额谈判僵局”，把原则转化为可执行的谈判行动。</x:v>
      </x:c>
      <x:c r="E285" s="26" t="str">
        <x:v>Uses a recovery gesture when the commercial relationship still has value.</x:v>
      </x:c>
    </x:row>
    <x:row r="286">
      <x:c r="A286" s="24" t="str">
        <x:v>P9.07</x:v>
      </x:c>
      <x:c r="B286" s="25" t="str">
        <x:v>REQUIRES_RESOURCE</x:v>
      </x:c>
      <x:c r="C286" s="25" t="str">
        <x:v>K117</x:v>
      </x:c>
      <x:c r="D286" s="25" t="str">
        <x:v>“承运人责任与事故处理”可用于识别、预防或处理“承运人与卖方责任混淆”。</x:v>
      </x:c>
      <x:c r="E286" s="26" t="str">
        <x:v>Identifies the proper defendant under Incoterms and the B/L.</x:v>
      </x:c>
    </x:row>
    <x:row r="287">
      <x:c r="A287" s="24" t="str">
        <x:v>P9.07</x:v>
      </x:c>
      <x:c r="B287" s="25" t="str">
        <x:v>REQUIRES_RESOURCE</x:v>
      </x:c>
      <x:c r="C287" s="25" t="str">
        <x:v>K064</x:v>
      </x:c>
      <x:c r="D287" s="25" t="str">
        <x:v>“装运风险管理”可用于识别、预防或处理“承运人与卖方责任混淆”。</x:v>
      </x:c>
      <x:c r="E287" s="26" t="str">
        <x:v>Maps whether the loss is a shipping risk already allocated.</x:v>
      </x:c>
    </x:row>
    <x:row r="288">
      <x:c r="A288" s="24" t="str">
        <x:v>P9.07</x:v>
      </x:c>
      <x:c r="B288" s="25" t="str">
        <x:v>REQUIRES_RESOURCE</x:v>
      </x:c>
      <x:c r="C288" s="25" t="str">
        <x:v>K071</x:v>
      </x:c>
      <x:c r="D288" s="25" t="str">
        <x:v>“交付条件与验收标准”可用于识别、预防或处理“承运人与卖方责任混淆”。</x:v>
      </x:c>
      <x:c r="E288" s="26" t="str">
        <x:v>Fixes the delivery point at which risk passed.</x:v>
      </x:c>
    </x:row>
    <x:row r="289">
      <x:c r="A289" s="24" t="str">
        <x:v>P9.07</x:v>
      </x:c>
      <x:c r="B289" s="25" t="str">
        <x:v>REQUIRES_RESOURCE</x:v>
      </x:c>
      <x:c r="C289" s="25" t="str">
        <x:v>K090</x:v>
      </x:c>
      <x:c r="D289" s="25" t="str">
        <x:v>“货物运输保险的定义”可用于识别、预防或处理“承运人与卖方责任混淆”。</x:v>
      </x:c>
      <x:c r="E289" s="26" t="str">
        <x:v>Sends the transit peril to the insurer, not to the seller’s QA team.</x:v>
      </x:c>
    </x:row>
    <x:row r="290">
      <x:c r="A290" s="24" t="str">
        <x:v>P9.07</x:v>
      </x:c>
      <x:c r="B290" s="25" t="str">
        <x:v>REQUIRES_RESOURCE</x:v>
      </x:c>
      <x:c r="C290" s="25" t="str">
        <x:v>K016</x:v>
      </x:c>
      <x:c r="D290" s="25" t="str">
        <x:v>“FOB 条件”可用于识别、预防或处理“承运人与卖方责任混淆”。</x:v>
      </x:c>
      <x:c r="E290" s="26" t="str">
        <x:v>Under FOB, stops a post-rail loss being claimed against the seller.</x:v>
      </x:c>
    </x:row>
    <x:row r="291">
      <x:c r="A291" s="24" t="str">
        <x:v>P9.08</x:v>
      </x:c>
      <x:c r="B291" s="25" t="str">
        <x:v>REQUIRES_RESOURCE</x:v>
      </x:c>
      <x:c r="C291" s="25" t="str">
        <x:v>K106</x:v>
      </x:c>
      <x:c r="D291" s="25" t="str">
        <x:v>“投诉处理的跨文化差异”可用于识别、预防或处理“跨文化投诉处理失当”。</x:v>
      </x:c>
      <x:c r="E291" s="26" t="str">
        <x:v>Selects the complaint script for the counterpart’s culture.</x:v>
      </x:c>
    </x:row>
    <x:row r="292">
      <x:c r="A292" s="24" t="str">
        <x:v>P9.08</x:v>
      </x:c>
      <x:c r="B292" s="25" t="str">
        <x:v>REQUIRES_RESOURCE</x:v>
      </x:c>
      <x:c r="C292" s="25" t="str">
        <x:v>K116</x:v>
      </x:c>
      <x:c r="D292" s="25" t="str">
        <x:v>“索赔与和解的跨文化差异”可用于识别、预防或处理“跨文化投诉处理失当”。</x:v>
      </x:c>
      <x:c r="E292" s="26" t="str">
        <x:v>Selects the claim-opening tone the same way.</x:v>
      </x:c>
    </x:row>
    <x:row r="293">
      <x:c r="A293" s="24" t="str">
        <x:v>P9.08</x:v>
      </x:c>
      <x:c r="B293" s="25" t="str">
        <x:v>REQUIRES_STRATEGY</x:v>
      </x:c>
      <x:c r="C293" s="25" t="str">
        <x:v>K103</x:v>
      </x:c>
      <x:c r="D293" s="25" t="str">
        <x:v>运用“沟通、倾听与客户服务语言”应对“跨文化投诉处理失当”，把原则转化为可执行的谈判行动。</x:v>
      </x:c>
      <x:c r="E293" s="26" t="str">
        <x:v>Keeps listening language even when the legal answer is no.</x:v>
      </x:c>
    </x:row>
    <x:row r="294">
      <x:c r="A294" s="24" t="str">
        <x:v>P9.08</x:v>
      </x:c>
      <x:c r="B294" s="25" t="str">
        <x:v>REQUIRES_STRATEGY</x:v>
      </x:c>
      <x:c r="C294" s="25" t="str">
        <x:v>K036</x:v>
      </x:c>
      <x:c r="D294" s="25" t="str">
        <x:v>运用“还盘心理与保全面子策略”应对“跨文化投诉处理失当”，把原则转化为可执行的谈判行动。</x:v>
      </x:c>
      <x:c r="E294" s="26" t="str">
        <x:v>Applies saving-face so a 'no' does not end the account.</x:v>
      </x:c>
    </x:row>
    <x:row r="295">
      <x:c r="A295" s="24" t="str">
        <x:v>P9.09</x:v>
      </x:c>
      <x:c r="B295" s="25" t="str">
        <x:v>REQUIRES_RESOURCE</x:v>
      </x:c>
      <x:c r="C295" s="25" t="str">
        <x:v>K109</x:v>
      </x:c>
      <x:c r="D295" s="25" t="str">
        <x:v>“根因分析与争议调解”可用于识别、预防或处理“重复投诉但未解决根因”。</x:v>
      </x:c>
      <x:c r="E295" s="26" t="str">
        <x:v>Forces 5-Why / fishbone and a mediation path for the pattern.</x:v>
      </x:c>
    </x:row>
    <x:row r="296">
      <x:c r="A296" s="24" t="str">
        <x:v>P9.09</x:v>
      </x:c>
      <x:c r="B296" s="25" t="str">
        <x:v>REQUIRES_RESOURCE</x:v>
      </x:c>
      <x:c r="C296" s="25" t="str">
        <x:v>K105</x:v>
      </x:c>
      <x:c r="D296" s="25" t="str">
        <x:v>“投诉预防、记录与反馈机制”可用于识别、预防或处理“重复投诉但未解决根因”。</x:v>
      </x:c>
      <x:c r="E296" s="26" t="str">
        <x:v>Logs, tags, and feeds the defect back into operations.</x:v>
      </x:c>
    </x:row>
    <x:row r="297">
      <x:c r="A297" s="24" t="str">
        <x:v>P9.09</x:v>
      </x:c>
      <x:c r="B297" s="25" t="str">
        <x:v>REQUIRES_RESOURCE</x:v>
      </x:c>
      <x:c r="C297" s="25" t="str">
        <x:v>K107</x:v>
      </x:c>
      <x:c r="D297" s="25" t="str">
        <x:v>“客户满意度评估”可用于识别、预防或处理“重复投诉但未解决根因”。</x:v>
      </x:c>
      <x:c r="E297" s="26" t="str">
        <x:v>Checks whether 'closed' complaints actually restored the account.</x:v>
      </x:c>
    </x:row>
    <x:row r="298">
      <x:c r="A298" s="24" t="str">
        <x:v>P9.09</x:v>
      </x:c>
      <x:c r="B298" s="25" t="str">
        <x:v>REQUIRES_RESOURCE</x:v>
      </x:c>
      <x:c r="C298" s="25" t="str">
        <x:v>K051</x:v>
      </x:c>
      <x:c r="D298" s="25" t="str">
        <x:v>“质量保证与售后服务”可用于识别、预防或处理“重复投诉但未解决根因”。</x:v>
      </x:c>
      <x:c r="E298" s="26" t="str">
        <x:v>Hardens QA and after-sales so the same defect cannot recur.</x:v>
      </x:c>
    </x:row>
    <x:row r="299">
      <x:c r="A299" s="27" t="str">
        <x:v>P9.09</x:v>
      </x:c>
      <x:c r="B299" s="28" t="str">
        <x:v>REQUIRES_RESOURCE</x:v>
      </x:c>
      <x:c r="C299" s="28" t="str">
        <x:v>K102</x:v>
      </x:c>
      <x:c r="D299" s="28" t="str">
        <x:v>“投诉处理原则与流程”可用于识别、预防或处理“重复投诉但未解决根因”。</x:v>
      </x:c>
      <x:c r="E299" s="29" t="str">
        <x:v>Stops treating each repeat as a brand-new case.</x:v>
      </x:c>
    </x:row>
  </x:sheetData>
  <x:pageMargins left="0.7" right="0.7" top="0.75" bottom="0.75" header="0.3" footer="0.3"/>
  <x:tableParts count="1">
    <x:tablePart xmlns:r="http://schemas.openxmlformats.org/officeDocument/2006/relationships" r:id="R24f219b5dd1f4c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10" hidden="0" customWidth="1"/>
    <x:col min="5" max="5" width="14" hidden="0" customWidth="1"/>
    <x:col min="6" max="6" width="62" hidden="0" customWidth="1"/>
    <x:col min="7" max="7" width="42" hidden="0" customWidth="1"/>
    <x:col min="8" max="8" width="10" hidden="0" customWidth="1"/>
  </x:cols>
  <x:sheetData>
    <x:row r="1" ht="30" customHeight="1">
      <x:c r="A1" s="21" t="str">
        <x:v>ScaffoldID</x:v>
      </x:c>
      <x:c r="B1" s="22" t="str">
        <x:v>PhenomenonID</x:v>
      </x:c>
      <x:c r="C1" s="22" t="str">
        <x:v>Trigger</x:v>
      </x:c>
      <x:c r="D1" s="22" t="str">
        <x:v>Level</x:v>
      </x:c>
      <x:c r="E1" s="22" t="str">
        <x:v>Format</x:v>
      </x:c>
      <x:c r="F1" s="22" t="str">
        <x:v>Content</x:v>
      </x:c>
      <x:c r="G1" s="22" t="str">
        <x:v>WithdrawalCondition</x:v>
      </x:c>
      <x:c r="H1" s="23" t="str">
        <x:v>MaxUses</x:v>
      </x:c>
    </x:row>
    <x:row r="2">
      <x:c r="A2" s="24" t="str">
        <x:v>SC-P1.01-1</x:v>
      </x:c>
      <x:c r="B2" s="25" t="str">
        <x:v>P1.01</x:v>
      </x:c>
      <x:c r="C2" s="25" t="str">
        <x:v>学生尚未识别当前局面或风险时</x:v>
      </x:c>
      <x:c r="D2" s="25" t="str">
        <x:v>一级</x:v>
      </x:c>
      <x:c r="E2" s="25" t="str">
        <x:v>识别线索</x:v>
      </x:c>
      <x:c r="F2" s="25" t="str">
        <x:v>留意：对方发送含糊的询价请求，并无真实采购意图，只为探取价格。</x:v>
      </x:c>
      <x:c r="G2" s="25" t="str">
        <x:v>学生已能准确命名局面并说明其风险</x:v>
      </x:c>
      <x:c r="H2" s="26" t="n">
        <x:v>2</x:v>
      </x:c>
    </x:row>
    <x:row r="3">
      <x:c r="A3" s="24" t="str">
        <x:v>SC-P1.01-2</x:v>
      </x:c>
      <x:c r="B3" s="25" t="str">
        <x:v>P1.01</x:v>
      </x:c>
      <x:c r="C3" s="25" t="str">
        <x:v>学生已识别局面但缺少可执行行动时</x:v>
      </x:c>
      <x:c r="D3" s="25" t="str">
        <x:v>二级</x:v>
      </x:c>
      <x:c r="E3" s="25" t="str">
        <x:v>行动线索</x:v>
      </x:c>
      <x:c r="F3" s="25" t="str">
        <x:v>可从这些方向组织下一步：询盘定义、询盘类型、询盘法律性质、宽泛询盘、询盘前调研。先说明依据，再提出条件或行动。</x:v>
      </x:c>
      <x:c r="G3" s="25" t="str">
        <x:v>学生已能独立选择知识或策略并提出具体行动</x:v>
      </x:c>
      <x:c r="H3" s="26" t="n">
        <x:v>2</x:v>
      </x:c>
    </x:row>
    <x:row r="4">
      <x:c r="A4" s="24" t="str">
        <x:v>SC-P1.02-1</x:v>
      </x:c>
      <x:c r="B4" s="25" t="str">
        <x:v>P1.02</x:v>
      </x:c>
      <x:c r="C4" s="25" t="str">
        <x:v>学生尚未识别当前局面或风险时</x:v>
      </x:c>
      <x:c r="D4" s="25" t="str">
        <x:v>一级</x:v>
      </x:c>
      <x:c r="E4" s="25" t="str">
        <x:v>识别线索</x:v>
      </x:c>
      <x:c r="F4" s="25" t="str">
        <x:v>留意：规格、数量、目的地或包装等信息缺失，导致回复无法进行有效比较。</x:v>
      </x:c>
      <x:c r="G4" s="25" t="str">
        <x:v>学生已能准确命名局面并说明其风险</x:v>
      </x:c>
      <x:c r="H4" s="26" t="n">
        <x:v>2</x:v>
      </x:c>
    </x:row>
    <x:row r="5">
      <x:c r="A5" s="24" t="str">
        <x:v>SC-P1.02-2</x:v>
      </x:c>
      <x:c r="B5" s="25" t="str">
        <x:v>P1.02</x:v>
      </x:c>
      <x:c r="C5" s="25" t="str">
        <x:v>学生已识别局面但缺少可执行行动时</x:v>
      </x:c>
      <x:c r="D5" s="25" t="str">
        <x:v>二级</x:v>
      </x:c>
      <x:c r="E5" s="25" t="str">
        <x:v>行动线索</x:v>
      </x:c>
      <x:c r="F5" s="25" t="str">
        <x:v>可从这些方向组织下一步：精准询盘、询盘函写作、询盘前调研、询盘类型。先说明依据，再提出条件或行动。</x:v>
      </x:c>
      <x:c r="G5" s="25" t="str">
        <x:v>学生已能独立选择知识或策略并提出具体行动</x:v>
      </x:c>
      <x:c r="H5" s="26" t="n">
        <x:v>2</x:v>
      </x:c>
    </x:row>
    <x:row r="6">
      <x:c r="A6" s="24" t="str">
        <x:v>SC-P1.03-1</x:v>
      </x:c>
      <x:c r="B6" s="25" t="str">
        <x:v>P1.03</x:v>
      </x:c>
      <x:c r="C6" s="25" t="str">
        <x:v>学生尚未识别当前局面或风险时</x:v>
      </x:c>
      <x:c r="D6" s="25" t="str">
        <x:v>一级</x:v>
      </x:c>
      <x:c r="E6" s="25" t="str">
        <x:v>识别线索</x:v>
      </x:c>
      <x:c r="F6" s="25" t="str">
        <x:v>留意：同一询价被群发给大量卖方，却没有结构化的比价方法。</x:v>
      </x:c>
      <x:c r="G6" s="25" t="str">
        <x:v>学生已能准确命名局面并说明其风险</x:v>
      </x:c>
      <x:c r="H6" s="26" t="n">
        <x:v>2</x:v>
      </x:c>
    </x:row>
    <x:row r="7">
      <x:c r="A7" s="24" t="str">
        <x:v>SC-P1.03-2</x:v>
      </x:c>
      <x:c r="B7" s="25" t="str">
        <x:v>P1.03</x:v>
      </x:c>
      <x:c r="C7" s="25" t="str">
        <x:v>学生已识别局面但缺少可执行行动时</x:v>
      </x:c>
      <x:c r="D7" s="25" t="str">
        <x:v>二级</x:v>
      </x:c>
      <x:c r="E7" s="25" t="str">
        <x:v>行动线索</x:v>
      </x:c>
      <x:c r="F7" s="25" t="str">
        <x:v>可从这些方向组织下一步：询盘渠道、询盘比价、询盘议价、宽泛询盘。先说明依据，再提出条件或行动。</x:v>
      </x:c>
      <x:c r="G7" s="25" t="str">
        <x:v>学生已能独立选择知识或策略并提出具体行动</x:v>
      </x:c>
      <x:c r="H7" s="26" t="n">
        <x:v>2</x:v>
      </x:c>
    </x:row>
    <x:row r="8">
      <x:c r="A8" s="24" t="str">
        <x:v>SC-P1.04-1</x:v>
      </x:c>
      <x:c r="B8" s="25" t="str">
        <x:v>P1.04</x:v>
      </x:c>
      <x:c r="C8" s="25" t="str">
        <x:v>学生尚未识别当前局面或风险时</x:v>
      </x:c>
      <x:c r="D8" s="25" t="str">
        <x:v>一级</x:v>
      </x:c>
      <x:c r="E8" s="25" t="str">
        <x:v>识别线索</x:v>
      </x:c>
      <x:c r="F8" s="25" t="str">
        <x:v>留意：询盘或回复的措辞无意中包含明确条款及受约束意图，从而可能构成发盘。</x:v>
      </x:c>
      <x:c r="G8" s="25" t="str">
        <x:v>学生已能准确命名局面并说明其风险</x:v>
      </x:c>
      <x:c r="H8" s="26" t="n">
        <x:v>2</x:v>
      </x:c>
    </x:row>
    <x:row r="9">
      <x:c r="A9" s="24" t="str">
        <x:v>SC-P1.04-2</x:v>
      </x:c>
      <x:c r="B9" s="25" t="str">
        <x:v>P1.04</x:v>
      </x:c>
      <x:c r="C9" s="25" t="str">
        <x:v>学生已识别局面但缺少可执行行动时</x:v>
      </x:c>
      <x:c r="D9" s="25" t="str">
        <x:v>二级</x:v>
      </x:c>
      <x:c r="E9" s="25" t="str">
        <x:v>行动线索</x:v>
      </x:c>
      <x:c r="F9" s="25" t="str">
        <x:v>可从这些方向组织下一步：询盘法律性质、询盘转发盘、询盘函写作、发盘法律规则。先说明依据，再提出条件或行动。</x:v>
      </x:c>
      <x:c r="G9" s="25" t="str">
        <x:v>学生已能独立选择知识或策略并提出具体行动</x:v>
      </x:c>
      <x:c r="H9" s="26" t="n">
        <x:v>2</x:v>
      </x:c>
    </x:row>
    <x:row r="10">
      <x:c r="A10" s="24" t="str">
        <x:v>SC-P1.05-1</x:v>
      </x:c>
      <x:c r="B10" s="25" t="str">
        <x:v>P1.05</x:v>
      </x:c>
      <x:c r="C10" s="25" t="str">
        <x:v>学生尚未识别当前局面或风险时</x:v>
      </x:c>
      <x:c r="D10" s="25" t="str">
        <x:v>一级</x:v>
      </x:c>
      <x:c r="E10" s="25" t="str">
        <x:v>识别线索</x:v>
      </x:c>
      <x:c r="F10" s="25" t="str">
        <x:v>留意：首封函电的语气、称谓、礼物或发送时机冒犯高语境文化的对方。</x:v>
      </x:c>
      <x:c r="G10" s="25" t="str">
        <x:v>学生已能准确命名局面并说明其风险</x:v>
      </x:c>
      <x:c r="H10" s="26" t="n">
        <x:v>2</x:v>
      </x:c>
    </x:row>
    <x:row r="11">
      <x:c r="A11" s="24" t="str">
        <x:v>SC-P1.05-2</x:v>
      </x:c>
      <x:c r="B11" s="25" t="str">
        <x:v>P1.05</x:v>
      </x:c>
      <x:c r="C11" s="25" t="str">
        <x:v>学生已识别局面但缺少可执行行动时</x:v>
      </x:c>
      <x:c r="D11" s="25" t="str">
        <x:v>二级</x:v>
      </x:c>
      <x:c r="E11" s="25" t="str">
        <x:v>行动线索</x:v>
      </x:c>
      <x:c r="F11" s="25" t="str">
        <x:v>可从这些方向组织下一步：询盘跨文化礼仪、询盘函写作、发盘跨文化礼仪。先说明依据，再提出条件或行动。</x:v>
      </x:c>
      <x:c r="G11" s="25" t="str">
        <x:v>学生已能独立选择知识或策略并提出具体行动</x:v>
      </x:c>
      <x:c r="H11" s="26" t="n">
        <x:v>2</x:v>
      </x:c>
    </x:row>
    <x:row r="12">
      <x:c r="A12" s="24" t="str">
        <x:v>SC-P1.06-1</x:v>
      </x:c>
      <x:c r="B12" s="25" t="str">
        <x:v>P1.06</x:v>
      </x:c>
      <x:c r="C12" s="25" t="str">
        <x:v>学生尚未识别当前局面或风险时</x:v>
      </x:c>
      <x:c r="D12" s="25" t="str">
        <x:v>一级</x:v>
      </x:c>
      <x:c r="E12" s="25" t="str">
        <x:v>识别线索</x:v>
      </x:c>
      <x:c r="F12" s="25" t="str">
        <x:v>留意：买方拒绝透露数量、条款或目的地，却持续要求卖方给出单价。</x:v>
      </x:c>
      <x:c r="G12" s="25" t="str">
        <x:v>学生已能准确命名局面并说明其风险</x:v>
      </x:c>
      <x:c r="H12" s="26" t="n">
        <x:v>2</x:v>
      </x:c>
    </x:row>
    <x:row r="13">
      <x:c r="A13" s="24" t="str">
        <x:v>SC-P1.06-2</x:v>
      </x:c>
      <x:c r="B13" s="25" t="str">
        <x:v>P1.06</x:v>
      </x:c>
      <x:c r="C13" s="25" t="str">
        <x:v>学生已识别局面但缺少可执行行动时</x:v>
      </x:c>
      <x:c r="D13" s="25" t="str">
        <x:v>二级</x:v>
      </x:c>
      <x:c r="E13" s="25" t="str">
        <x:v>行动线索</x:v>
      </x:c>
      <x:c r="F13" s="25" t="str">
        <x:v>可从这些方向组织下一步：宽泛询盘、精准询盘、询盘议价、询盘前调研、价格锚定。先说明依据，再提出条件或行动。</x:v>
      </x:c>
      <x:c r="G13" s="25" t="str">
        <x:v>学生已能独立选择知识或策略并提出具体行动</x:v>
      </x:c>
      <x:c r="H13" s="26" t="n">
        <x:v>2</x:v>
      </x:c>
    </x:row>
    <x:row r="14">
      <x:c r="A14" s="24" t="str">
        <x:v>SC-P1.07-1</x:v>
      </x:c>
      <x:c r="B14" s="25" t="str">
        <x:v>P1.07</x:v>
      </x:c>
      <x:c r="C14" s="25" t="str">
        <x:v>学生尚未识别当前局面或风险时</x:v>
      </x:c>
      <x:c r="D14" s="25" t="str">
        <x:v>一级</x:v>
      </x:c>
      <x:c r="E14" s="25" t="str">
        <x:v>识别线索</x:v>
      </x:c>
      <x:c r="F14" s="25" t="str">
        <x:v>留意：在尚未掌握现有供应商、价格区间或监管要求前就贸然询盘。</x:v>
      </x:c>
      <x:c r="G14" s="25" t="str">
        <x:v>学生已能准确命名局面并说明其风险</x:v>
      </x:c>
      <x:c r="H14" s="26" t="n">
        <x:v>2</x:v>
      </x:c>
    </x:row>
    <x:row r="15">
      <x:c r="A15" s="24" t="str">
        <x:v>SC-P1.07-2</x:v>
      </x:c>
      <x:c r="B15" s="25" t="str">
        <x:v>P1.07</x:v>
      </x:c>
      <x:c r="C15" s="25" t="str">
        <x:v>学生已识别局面但缺少可执行行动时</x:v>
      </x:c>
      <x:c r="D15" s="25" t="str">
        <x:v>二级</x:v>
      </x:c>
      <x:c r="E15" s="25" t="str">
        <x:v>行动线索</x:v>
      </x:c>
      <x:c r="F15" s="25" t="str">
        <x:v>可从这些方向组织下一步：询盘前调研、询盘渠道、询盘比价、询盘类型。先说明依据，再提出条件或行动。</x:v>
      </x:c>
      <x:c r="G15" s="25" t="str">
        <x:v>学生已能独立选择知识或策略并提出具体行动</x:v>
      </x:c>
      <x:c r="H15" s="26" t="n">
        <x:v>2</x:v>
      </x:c>
    </x:row>
    <x:row r="16">
      <x:c r="A16" s="24" t="str">
        <x:v>SC-P2.01-1</x:v>
      </x:c>
      <x:c r="B16" s="25" t="str">
        <x:v>P2.01</x:v>
      </x:c>
      <x:c r="C16" s="25" t="str">
        <x:v>学生尚未识别当前局面或风险时</x:v>
      </x:c>
      <x:c r="D16" s="25" t="str">
        <x:v>一级</x:v>
      </x:c>
      <x:c r="E16" s="25" t="str">
        <x:v>识别线索</x:v>
      </x:c>
      <x:c r="F16" s="25" t="str">
        <x:v>留意：对方反复发出标注“以我方确认为准”的报价，始终不愿转为实盘。</x:v>
      </x:c>
      <x:c r="G16" s="25" t="str">
        <x:v>学生已能准确命名局面并说明其风险</x:v>
      </x:c>
      <x:c r="H16" s="26" t="n">
        <x:v>2</x:v>
      </x:c>
    </x:row>
    <x:row r="17">
      <x:c r="A17" s="24" t="str">
        <x:v>SC-P2.01-2</x:v>
      </x:c>
      <x:c r="B17" s="25" t="str">
        <x:v>P2.01</x:v>
      </x:c>
      <x:c r="C17" s="25" t="str">
        <x:v>学生已识别局面但缺少可执行行动时</x:v>
      </x:c>
      <x:c r="D17" s="25" t="str">
        <x:v>二级</x:v>
      </x:c>
      <x:c r="E17" s="25" t="str">
        <x:v>行动线索</x:v>
      </x:c>
      <x:c r="F17" s="25" t="str">
        <x:v>可从这些方向组织下一步：发盘定义、发盘法律规则、附条件发盘、发盘风控、发盘跨文化礼仪。先说明依据，再提出条件或行动。</x:v>
      </x:c>
      <x:c r="G17" s="25" t="str">
        <x:v>学生已能独立选择知识或策略并提出具体行动</x:v>
      </x:c>
      <x:c r="H17" s="26" t="n">
        <x:v>2</x:v>
      </x:c>
    </x:row>
    <x:row r="18">
      <x:c r="A18" s="24" t="str">
        <x:v>SC-P2.02-1</x:v>
      </x:c>
      <x:c r="B18" s="25" t="str">
        <x:v>P2.02</x:v>
      </x:c>
      <x:c r="C18" s="25" t="str">
        <x:v>学生尚未识别当前局面或风险时</x:v>
      </x:c>
      <x:c r="D18" s="25" t="str">
        <x:v>一级</x:v>
      </x:c>
      <x:c r="E18" s="25" t="str">
        <x:v>识别线索</x:v>
      </x:c>
      <x:c r="F18" s="25" t="str">
        <x:v>留意：发盘未说明何时失效，容易引发逾期接受和履约争议。</x:v>
      </x:c>
      <x:c r="G18" s="25" t="str">
        <x:v>学生已能准确命名局面并说明其风险</x:v>
      </x:c>
      <x:c r="H18" s="26" t="n">
        <x:v>2</x:v>
      </x:c>
    </x:row>
    <x:row r="19">
      <x:c r="A19" s="24" t="str">
        <x:v>SC-P2.02-2</x:v>
      </x:c>
      <x:c r="B19" s="25" t="str">
        <x:v>P2.02</x:v>
      </x:c>
      <x:c r="C19" s="25" t="str">
        <x:v>学生已识别局面但缺少可执行行动时</x:v>
      </x:c>
      <x:c r="D19" s="25" t="str">
        <x:v>二级</x:v>
      </x:c>
      <x:c r="E19" s="25" t="str">
        <x:v>行动线索</x:v>
      </x:c>
      <x:c r="F19" s="25" t="str">
        <x:v>可从这些方向组织下一步：发盘有效期、发盘法律规则、发盘函写作、撤盘改盘、发盘风控。先说明依据，再提出条件或行动。</x:v>
      </x:c>
      <x:c r="G19" s="25" t="str">
        <x:v>学生已能独立选择知识或策略并提出具体行动</x:v>
      </x:c>
      <x:c r="H19" s="26" t="n">
        <x:v>2</x:v>
      </x:c>
    </x:row>
    <x:row r="20">
      <x:c r="A20" s="24" t="str">
        <x:v>SC-P2.03-1</x:v>
      </x:c>
      <x:c r="B20" s="25" t="str">
        <x:v>P2.03</x:v>
      </x:c>
      <x:c r="C20" s="25" t="str">
        <x:v>学生尚未识别当前局面或风险时</x:v>
      </x:c>
      <x:c r="D20" s="25" t="str">
        <x:v>一级</x:v>
      </x:c>
      <x:c r="E20" s="25" t="str">
        <x:v>识别线索</x:v>
      </x:c>
      <x:c r="F20" s="25" t="str">
        <x:v>留意：贸易术语被替换或故意含糊，使运费和保险费从价格比较中消失。</x:v>
      </x:c>
      <x:c r="G20" s="25" t="str">
        <x:v>学生已能准确命名局面并说明其风险</x:v>
      </x:c>
      <x:c r="H20" s="26" t="n">
        <x:v>2</x:v>
      </x:c>
    </x:row>
    <x:row r="21">
      <x:c r="A21" s="24" t="str">
        <x:v>SC-P2.03-2</x:v>
      </x:c>
      <x:c r="B21" s="25" t="str">
        <x:v>P2.03</x:v>
      </x:c>
      <x:c r="C21" s="25" t="str">
        <x:v>学生已识别局面但缺少可执行行动时</x:v>
      </x:c>
      <x:c r="D21" s="25" t="str">
        <x:v>二级</x:v>
      </x:c>
      <x:c r="E21" s="25" t="str">
        <x:v>行动线索</x:v>
      </x:c>
      <x:c r="F21" s="25" t="str">
        <x:v>可从这些方向组织下一步：FOB 条件、CIF 条件、定价因素、发盘风控、发盘函写作。先说明依据，再提出条件或行动。</x:v>
      </x:c>
      <x:c r="G21" s="25" t="str">
        <x:v>学生已能独立选择知识或策略并提出具体行动</x:v>
      </x:c>
      <x:c r="H21" s="26" t="n">
        <x:v>2</x:v>
      </x:c>
    </x:row>
    <x:row r="22">
      <x:c r="A22" s="24" t="str">
        <x:v>SC-P2.04-1</x:v>
      </x:c>
      <x:c r="B22" s="25" t="str">
        <x:v>P2.04</x:v>
      </x:c>
      <x:c r="C22" s="25" t="str">
        <x:v>学生尚未识别当前局面或风险时</x:v>
      </x:c>
      <x:c r="D22" s="25" t="str">
        <x:v>一级</x:v>
      </x:c>
      <x:c r="E22" s="25" t="str">
        <x:v>识别线索</x:v>
      </x:c>
      <x:c r="F22" s="25" t="str">
        <x:v>留意：开价远离保留价格，试图强行拉动可能成交区间。</x:v>
      </x:c>
      <x:c r="G22" s="25" t="str">
        <x:v>学生已能准确命名局面并说明其风险</x:v>
      </x:c>
      <x:c r="H22" s="26" t="n">
        <x:v>2</x:v>
      </x:c>
    </x:row>
    <x:row r="23">
      <x:c r="A23" s="24" t="str">
        <x:v>SC-P2.04-2</x:v>
      </x:c>
      <x:c r="B23" s="25" t="str">
        <x:v>P2.04</x:v>
      </x:c>
      <x:c r="C23" s="25" t="str">
        <x:v>学生已识别局面但缺少可执行行动时</x:v>
      </x:c>
      <x:c r="D23" s="25" t="str">
        <x:v>二级</x:v>
      </x:c>
      <x:c r="E23" s="25" t="str">
        <x:v>行动线索</x:v>
      </x:c>
      <x:c r="F23" s="25" t="str">
        <x:v>可从这些方向组织下一步：价格锚定、定价因素、发盘心理策略、询盘议价。先说明依据，再提出条件或行动。</x:v>
      </x:c>
      <x:c r="G23" s="25" t="str">
        <x:v>学生已能独立选择知识或策略并提出具体行动</x:v>
      </x:c>
      <x:c r="H23" s="26" t="n">
        <x:v>2</x:v>
      </x:c>
    </x:row>
    <x:row r="24">
      <x:c r="A24" s="24" t="str">
        <x:v>SC-P2.05-1</x:v>
      </x:c>
      <x:c r="B24" s="25" t="str">
        <x:v>P2.05</x:v>
      </x:c>
      <x:c r="C24" s="25" t="str">
        <x:v>学生尚未识别当前局面或风险时</x:v>
      </x:c>
      <x:c r="D24" s="25" t="str">
        <x:v>一级</x:v>
      </x:c>
      <x:c r="E24" s="25" t="str">
        <x:v>识别线索</x:v>
      </x:c>
      <x:c r="F24" s="25" t="str">
        <x:v>留意：发盘叠加许可、库存或董事会批准等条件，实质上削弱交易确定性。</x:v>
      </x:c>
      <x:c r="G24" s="25" t="str">
        <x:v>学生已能准确命名局面并说明其风险</x:v>
      </x:c>
      <x:c r="H24" s="26" t="n">
        <x:v>2</x:v>
      </x:c>
    </x:row>
    <x:row r="25">
      <x:c r="A25" s="24" t="str">
        <x:v>SC-P2.05-2</x:v>
      </x:c>
      <x:c r="B25" s="25" t="str">
        <x:v>P2.05</x:v>
      </x:c>
      <x:c r="C25" s="25" t="str">
        <x:v>学生已识别局面但缺少可执行行动时</x:v>
      </x:c>
      <x:c r="D25" s="25" t="str">
        <x:v>二级</x:v>
      </x:c>
      <x:c r="E25" s="25" t="str">
        <x:v>行动线索</x:v>
      </x:c>
      <x:c r="F25" s="25" t="str">
        <x:v>可从这些方向组织下一步：附条件发盘、发盘法律规则、发盘风控、发盘函写作。先说明依据，再提出条件或行动。</x:v>
      </x:c>
      <x:c r="G25" s="25" t="str">
        <x:v>学生已能独立选择知识或策略并提出具体行动</x:v>
      </x:c>
      <x:c r="H25" s="26" t="n">
        <x:v>2</x:v>
      </x:c>
    </x:row>
    <x:row r="26">
      <x:c r="A26" s="24" t="str">
        <x:v>SC-P2.06-1</x:v>
      </x:c>
      <x:c r="B26" s="25" t="str">
        <x:v>P2.06</x:v>
      </x:c>
      <x:c r="C26" s="25" t="str">
        <x:v>学生尚未识别当前局面或风险时</x:v>
      </x:c>
      <x:c r="D26" s="25" t="str">
        <x:v>一级</x:v>
      </x:c>
      <x:c r="E26" s="25" t="str">
        <x:v>识别线索</x:v>
      </x:c>
      <x:c r="F26" s="25" t="str">
        <x:v>留意：受盘人已收到仍在有效期内的实盘后，发盘人仍试图撤销。</x:v>
      </x:c>
      <x:c r="G26" s="25" t="str">
        <x:v>学生已能准确命名局面并说明其风险</x:v>
      </x:c>
      <x:c r="H26" s="26" t="n">
        <x:v>2</x:v>
      </x:c>
    </x:row>
    <x:row r="27">
      <x:c r="A27" s="24" t="str">
        <x:v>SC-P2.06-2</x:v>
      </x:c>
      <x:c r="B27" s="25" t="str">
        <x:v>P2.06</x:v>
      </x:c>
      <x:c r="C27" s="25" t="str">
        <x:v>学生已识别局面但缺少可执行行动时</x:v>
      </x:c>
      <x:c r="D27" s="25" t="str">
        <x:v>二级</x:v>
      </x:c>
      <x:c r="E27" s="25" t="str">
        <x:v>行动线索</x:v>
      </x:c>
      <x:c r="F27" s="25" t="str">
        <x:v>可从这些方向组织下一步：撤盘改盘、发盘法律规则、发盘有效期、发盘定义。先说明依据，再提出条件或行动。</x:v>
      </x:c>
      <x:c r="G27" s="25" t="str">
        <x:v>学生已能独立选择知识或策略并提出具体行动</x:v>
      </x:c>
      <x:c r="H27" s="26" t="n">
        <x:v>2</x:v>
      </x:c>
    </x:row>
    <x:row r="28">
      <x:c r="A28" s="24" t="str">
        <x:v>SC-P2.07-1</x:v>
      </x:c>
      <x:c r="B28" s="25" t="str">
        <x:v>P2.07</x:v>
      </x:c>
      <x:c r="C28" s="25" t="str">
        <x:v>学生尚未识别当前局面或风险时</x:v>
      </x:c>
      <x:c r="D28" s="25" t="str">
        <x:v>一级</x:v>
      </x:c>
      <x:c r="E28" s="25" t="str">
        <x:v>识别线索</x:v>
      </x:c>
      <x:c r="F28" s="25" t="str">
        <x:v>留意：标的、数量、价格或交付条件缺失，使所谓发盘不具备发盘资格。</x:v>
      </x:c>
      <x:c r="G28" s="25" t="str">
        <x:v>学生已能准确命名局面并说明其风险</x:v>
      </x:c>
      <x:c r="H28" s="26" t="n">
        <x:v>2</x:v>
      </x:c>
    </x:row>
    <x:row r="29">
      <x:c r="A29" s="24" t="str">
        <x:v>SC-P2.07-2</x:v>
      </x:c>
      <x:c r="B29" s="25" t="str">
        <x:v>P2.07</x:v>
      </x:c>
      <x:c r="C29" s="25" t="str">
        <x:v>学生已识别局面但缺少可执行行动时</x:v>
      </x:c>
      <x:c r="D29" s="25" t="str">
        <x:v>二级</x:v>
      </x:c>
      <x:c r="E29" s="25" t="str">
        <x:v>行动线索</x:v>
      </x:c>
      <x:c r="F29" s="25" t="str">
        <x:v>可从这些方向组织下一步：发盘定义、发盘法律规则、发盘函写作、定价因素、合同成立条款。先说明依据，再提出条件或行动。</x:v>
      </x:c>
      <x:c r="G29" s="25" t="str">
        <x:v>学生已能独立选择知识或策略并提出具体行动</x:v>
      </x:c>
      <x:c r="H29" s="26" t="n">
        <x:v>2</x:v>
      </x:c>
    </x:row>
    <x:row r="30">
      <x:c r="A30" s="24" t="str">
        <x:v>SC-P3.01-1</x:v>
      </x:c>
      <x:c r="B30" s="25" t="str">
        <x:v>P3.01</x:v>
      </x:c>
      <x:c r="C30" s="25" t="str">
        <x:v>学生尚未识别当前局面或风险时</x:v>
      </x:c>
      <x:c r="D30" s="25" t="str">
        <x:v>一级</x:v>
      </x:c>
      <x:c r="E30" s="25" t="str">
        <x:v>识别线索</x:v>
      </x:c>
      <x:c r="F30" s="25" t="str">
        <x:v>留意：双方不断修改条款，直至谈判停滞且原发盘已经失效。</x:v>
      </x:c>
      <x:c r="G30" s="25" t="str">
        <x:v>学生已能准确命名局面并说明其风险</x:v>
      </x:c>
      <x:c r="H30" s="26" t="n">
        <x:v>2</x:v>
      </x:c>
    </x:row>
    <x:row r="31">
      <x:c r="A31" s="24" t="str">
        <x:v>SC-P3.01-2</x:v>
      </x:c>
      <x:c r="B31" s="25" t="str">
        <x:v>P3.01</x:v>
      </x:c>
      <x:c r="C31" s="25" t="str">
        <x:v>学生已识别局面但缺少可执行行动时</x:v>
      </x:c>
      <x:c r="D31" s="25" t="str">
        <x:v>二级</x:v>
      </x:c>
      <x:c r="E31" s="25" t="str">
        <x:v>行动线索</x:v>
      </x:c>
      <x:c r="F31" s="25" t="str">
        <x:v>可从这些方向组织下一步：还盘破局、以退为进、互惠让步、四阶段让步、还盘机会评估。先说明依据，再提出条件或行动。</x:v>
      </x:c>
      <x:c r="G31" s="25" t="str">
        <x:v>学生已能独立选择知识或策略并提出具体行动</x:v>
      </x:c>
      <x:c r="H31" s="26" t="n">
        <x:v>2</x:v>
      </x:c>
    </x:row>
    <x:row r="32">
      <x:c r="A32" s="24" t="str">
        <x:v>SC-P3.02-1</x:v>
      </x:c>
      <x:c r="B32" s="25" t="str">
        <x:v>P3.02</x:v>
      </x:c>
      <x:c r="C32" s="25" t="str">
        <x:v>学生尚未识别当前局面或风险时</x:v>
      </x:c>
      <x:c r="D32" s="25" t="str">
        <x:v>一级</x:v>
      </x:c>
      <x:c r="E32" s="25" t="str">
        <x:v>识别线索</x:v>
      </x:c>
      <x:c r="F32" s="25" t="str">
        <x:v>留意：对主要条款的变更消灭原发盘，提出还盘的一方不能再回头接受原发盘。</x:v>
      </x:c>
      <x:c r="G32" s="25" t="str">
        <x:v>学生已能准确命名局面并说明其风险</x:v>
      </x:c>
      <x:c r="H32" s="26" t="n">
        <x:v>2</x:v>
      </x:c>
    </x:row>
    <x:row r="33">
      <x:c r="A33" s="24" t="str">
        <x:v>SC-P3.02-2</x:v>
      </x:c>
      <x:c r="B33" s="25" t="str">
        <x:v>P3.02</x:v>
      </x:c>
      <x:c r="C33" s="25" t="str">
        <x:v>学生已识别局面但缺少可执行行动时</x:v>
      </x:c>
      <x:c r="D33" s="25" t="str">
        <x:v>二级</x:v>
      </x:c>
      <x:c r="E33" s="25" t="str">
        <x:v>行动线索</x:v>
      </x:c>
      <x:c r="F33" s="25" t="str">
        <x:v>可从这些方向组织下一步：还盘法律规则、还盘权利转移、还盘流程、还盘风控、还盘函写作。先说明依据，再提出条件或行动。</x:v>
      </x:c>
      <x:c r="G33" s="25" t="str">
        <x:v>学生已能独立选择知识或策略并提出具体行动</x:v>
      </x:c>
      <x:c r="H33" s="26" t="n">
        <x:v>2</x:v>
      </x:c>
    </x:row>
    <x:row r="34">
      <x:c r="A34" s="24" t="str">
        <x:v>SC-P3.03-1</x:v>
      </x:c>
      <x:c r="B34" s="25" t="str">
        <x:v>P3.03</x:v>
      </x:c>
      <x:c r="C34" s="25" t="str">
        <x:v>学生尚未识别当前局面或风险时</x:v>
      </x:c>
      <x:c r="D34" s="25" t="str">
        <x:v>一级</x:v>
      </x:c>
      <x:c r="E34" s="25" t="str">
        <x:v>识别线索</x:v>
      </x:c>
      <x:c r="F34" s="25" t="str">
        <x:v>留意：一方把未回复、继续履行或接收货物解释为对条款的同意。</x:v>
      </x:c>
      <x:c r="G34" s="25" t="str">
        <x:v>学生已能准确命名局面并说明其风险</x:v>
      </x:c>
      <x:c r="H34" s="26" t="n">
        <x:v>2</x:v>
      </x:c>
    </x:row>
    <x:row r="35">
      <x:c r="A35" s="24" t="str">
        <x:v>SC-P3.03-2</x:v>
      </x:c>
      <x:c r="B35" s="25" t="str">
        <x:v>P3.03</x:v>
      </x:c>
      <x:c r="C35" s="25" t="str">
        <x:v>学生已识别局面但缺少可执行行动时</x:v>
      </x:c>
      <x:c r="D35" s="25" t="str">
        <x:v>二级</x:v>
      </x:c>
      <x:c r="E35" s="25" t="str">
        <x:v>行动线索</x:v>
      </x:c>
      <x:c r="F35" s="25" t="str">
        <x:v>可从这些方向组织下一步：沉默与默示接受、还盘法律规则、还盘风控、有效接受要件、接受跨文化差异。先说明依据，再提出条件或行动。</x:v>
      </x:c>
      <x:c r="G35" s="25" t="str">
        <x:v>学生已能独立选择知识或策略并提出具体行动</x:v>
      </x:c>
      <x:c r="H35" s="26" t="n">
        <x:v>2</x:v>
      </x:c>
    </x:row>
    <x:row r="36">
      <x:c r="A36" s="24" t="str">
        <x:v>SC-P3.04-1</x:v>
      </x:c>
      <x:c r="B36" s="25" t="str">
        <x:v>P3.04</x:v>
      </x:c>
      <x:c r="C36" s="25" t="str">
        <x:v>学生尚未识别当前局面或风险时</x:v>
      </x:c>
      <x:c r="D36" s="25" t="str">
        <x:v>一级</x:v>
      </x:c>
      <x:c r="E36" s="25" t="str">
        <x:v>识别线索</x:v>
      </x:c>
      <x:c r="F36" s="25" t="str">
        <x:v>留意：让步只从一方向另一方流动，己方筹码不断消耗却没有获得互惠。</x:v>
      </x:c>
      <x:c r="G36" s="25" t="str">
        <x:v>学生已能准确命名局面并说明其风险</x:v>
      </x:c>
      <x:c r="H36" s="26" t="n">
        <x:v>2</x:v>
      </x:c>
    </x:row>
    <x:row r="37">
      <x:c r="A37" s="24" t="str">
        <x:v>SC-P3.04-2</x:v>
      </x:c>
      <x:c r="B37" s="25" t="str">
        <x:v>P3.04</x:v>
      </x:c>
      <x:c r="C37" s="25" t="str">
        <x:v>学生已识别局面但缺少可执行行动时</x:v>
      </x:c>
      <x:c r="D37" s="25" t="str">
        <x:v>二级</x:v>
      </x:c>
      <x:c r="E37" s="25" t="str">
        <x:v>行动线索</x:v>
      </x:c>
      <x:c r="F37" s="25" t="str">
        <x:v>可从这些方向组织下一步：互惠让步、四阶段让步、还盘后磋商、以退为进。先说明依据，再提出条件或行动。</x:v>
      </x:c>
      <x:c r="G37" s="25" t="str">
        <x:v>学生已能独立选择知识或策略并提出具体行动</x:v>
      </x:c>
      <x:c r="H37" s="26" t="n">
        <x:v>2</x:v>
      </x:c>
    </x:row>
    <x:row r="38">
      <x:c r="A38" s="24" t="str">
        <x:v>SC-P3.05-1</x:v>
      </x:c>
      <x:c r="B38" s="25" t="str">
        <x:v>P3.05</x:v>
      </x:c>
      <x:c r="C38" s="25" t="str">
        <x:v>学生尚未识别当前局面或风险时</x:v>
      </x:c>
      <x:c r="D38" s="25" t="str">
        <x:v>一级</x:v>
      </x:c>
      <x:c r="E38" s="25" t="str">
        <x:v>识别线索</x:v>
      </x:c>
      <x:c r="F38" s="25" t="str">
        <x:v>留意：在高语境文化中直接拒绝或公开施压，导致关系和谈判同时崩塌。</x:v>
      </x:c>
      <x:c r="G38" s="25" t="str">
        <x:v>学生已能准确命名局面并说明其风险</x:v>
      </x:c>
      <x:c r="H38" s="26" t="n">
        <x:v>2</x:v>
      </x:c>
    </x:row>
    <x:row r="39">
      <x:c r="A39" s="24" t="str">
        <x:v>SC-P3.05-2</x:v>
      </x:c>
      <x:c r="B39" s="25" t="str">
        <x:v>P3.05</x:v>
      </x:c>
      <x:c r="C39" s="25" t="str">
        <x:v>学生已识别局面但缺少可执行行动时</x:v>
      </x:c>
      <x:c r="D39" s="25" t="str">
        <x:v>二级</x:v>
      </x:c>
      <x:c r="E39" s="25" t="str">
        <x:v>行动线索</x:v>
      </x:c>
      <x:c r="F39" s="25" t="str">
        <x:v>可从这些方向组织下一步：保全面子策略、还盘函写作、询盘跨文化礼仪、保险仲裁跨文化。先说明依据，再提出条件或行动。</x:v>
      </x:c>
      <x:c r="G39" s="25" t="str">
        <x:v>学生已能独立选择知识或策略并提出具体行动</x:v>
      </x:c>
      <x:c r="H39" s="26" t="n">
        <x:v>2</x:v>
      </x:c>
    </x:row>
    <x:row r="40">
      <x:c r="A40" s="24" t="str">
        <x:v>SC-P3.06-1</x:v>
      </x:c>
      <x:c r="B40" s="25" t="str">
        <x:v>P3.06</x:v>
      </x:c>
      <x:c r="C40" s="25" t="str">
        <x:v>学生尚未识别当前局面或风险时</x:v>
      </x:c>
      <x:c r="D40" s="25" t="str">
        <x:v>一级</x:v>
      </x:c>
      <x:c r="E40" s="25" t="str">
        <x:v>识别线索</x:v>
      </x:c>
      <x:c r="F40" s="25" t="str">
        <x:v>留意：对价格、数量或装运的所谓小修改，实际上构成新的还盘。</x:v>
      </x:c>
      <x:c r="G40" s="25" t="str">
        <x:v>学生已能准确命名局面并说明其风险</x:v>
      </x:c>
      <x:c r="H40" s="26" t="n">
        <x:v>2</x:v>
      </x:c>
    </x:row>
    <x:row r="41">
      <x:c r="A41" s="24" t="str">
        <x:v>SC-P3.06-2</x:v>
      </x:c>
      <x:c r="B41" s="25" t="str">
        <x:v>P3.06</x:v>
      </x:c>
      <x:c r="C41" s="25" t="str">
        <x:v>学生已识别局面但缺少可执行行动时</x:v>
      </x:c>
      <x:c r="D41" s="25" t="str">
        <x:v>二级</x:v>
      </x:c>
      <x:c r="E41" s="25" t="str">
        <x:v>行动线索</x:v>
      </x:c>
      <x:c r="F41" s="25" t="str">
        <x:v>可从这些方向组织下一步：还盘法律规则、接受还盘区分、还盘风控、还盘函写作。先说明依据，再提出条件或行动。</x:v>
      </x:c>
      <x:c r="G41" s="25" t="str">
        <x:v>学生已能独立选择知识或策略并提出具体行动</x:v>
      </x:c>
      <x:c r="H41" s="26" t="n">
        <x:v>2</x:v>
      </x:c>
    </x:row>
    <x:row r="42">
      <x:c r="A42" s="24" t="str">
        <x:v>SC-P3.07-1</x:v>
      </x:c>
      <x:c r="B42" s="25" t="str">
        <x:v>P3.07</x:v>
      </x:c>
      <x:c r="C42" s="25" t="str">
        <x:v>学生尚未识别当前局面或风险时</x:v>
      </x:c>
      <x:c r="D42" s="25" t="str">
        <x:v>一级</x:v>
      </x:c>
      <x:c r="E42" s="25" t="str">
        <x:v>识别线索</x:v>
      </x:c>
      <x:c r="F42" s="25" t="str">
        <x:v>留意：还盘过早、过晚或措辞不妥，增加谈判僵局风险。</x:v>
      </x:c>
      <x:c r="G42" s="25" t="str">
        <x:v>学生已能准确命名局面并说明其风险</x:v>
      </x:c>
      <x:c r="H42" s="26" t="n">
        <x:v>2</x:v>
      </x:c>
    </x:row>
    <x:row r="43">
      <x:c r="A43" s="24" t="str">
        <x:v>SC-P3.07-2</x:v>
      </x:c>
      <x:c r="B43" s="25" t="str">
        <x:v>P3.07</x:v>
      </x:c>
      <x:c r="C43" s="25" t="str">
        <x:v>学生已识别局面但缺少可执行行动时</x:v>
      </x:c>
      <x:c r="D43" s="25" t="str">
        <x:v>二级</x:v>
      </x:c>
      <x:c r="E43" s="25" t="str">
        <x:v>行动线索</x:v>
      </x:c>
      <x:c r="F43" s="25" t="str">
        <x:v>可从这些方向组织下一步：还盘机会评估、还盘函写作、还盘后磋商、发盘有效期。先说明依据，再提出条件或行动。</x:v>
      </x:c>
      <x:c r="G43" s="25" t="str">
        <x:v>学生已能独立选择知识或策略并提出具体行动</x:v>
      </x:c>
      <x:c r="H43" s="26" t="n">
        <x:v>2</x:v>
      </x:c>
    </x:row>
    <x:row r="44">
      <x:c r="A44" s="24" t="str">
        <x:v>SC-P4.01-1</x:v>
      </x:c>
      <x:c r="B44" s="25" t="str">
        <x:v>P4.01</x:v>
      </x:c>
      <x:c r="C44" s="25" t="str">
        <x:v>学生尚未识别当前局面或风险时</x:v>
      </x:c>
      <x:c r="D44" s="25" t="str">
        <x:v>一级</x:v>
      </x:c>
      <x:c r="E44" s="25" t="str">
        <x:v>识别线索</x:v>
      </x:c>
      <x:c r="F44" s="25" t="str">
        <x:v>留意：接受通知在有效期届满后到达，原发盘人可以将其视为新发盘。</x:v>
      </x:c>
      <x:c r="G44" s="25" t="str">
        <x:v>学生已能准确命名局面并说明其风险</x:v>
      </x:c>
      <x:c r="H44" s="26" t="n">
        <x:v>2</x:v>
      </x:c>
    </x:row>
    <x:row r="45">
      <x:c r="A45" s="24" t="str">
        <x:v>SC-P4.01-2</x:v>
      </x:c>
      <x:c r="B45" s="25" t="str">
        <x:v>P4.01</x:v>
      </x:c>
      <x:c r="C45" s="25" t="str">
        <x:v>学生已识别局面但缺少可执行行动时</x:v>
      </x:c>
      <x:c r="D45" s="25" t="str">
        <x:v>二级</x:v>
      </x:c>
      <x:c r="E45" s="25" t="str">
        <x:v>行动线索</x:v>
      </x:c>
      <x:c r="F45" s="25" t="str">
        <x:v>可从这些方向组织下一步：逾期接受、有效接受要件、接受通知规则、发盘有效期。先说明依据，再提出条件或行动。</x:v>
      </x:c>
      <x:c r="G45" s="25" t="str">
        <x:v>学生已能独立选择知识或策略并提出具体行动</x:v>
      </x:c>
      <x:c r="H45" s="26" t="n">
        <x:v>2</x:v>
      </x:c>
    </x:row>
    <x:row r="46">
      <x:c r="A46" s="24" t="str">
        <x:v>SC-P4.02-1</x:v>
      </x:c>
      <x:c r="B46" s="25" t="str">
        <x:v>P4.02</x:v>
      </x:c>
      <x:c r="C46" s="25" t="str">
        <x:v>学生尚未识别当前局面或风险时</x:v>
      </x:c>
      <x:c r="D46" s="25" t="str">
        <x:v>一级</x:v>
      </x:c>
      <x:c r="E46" s="25" t="str">
        <x:v>识别线索</x:v>
      </x:c>
      <x:c r="F46" s="25" t="str">
        <x:v>留意：“同意，但是……”在法律上属于还盘，发送方却误以为合同已经成立。</x:v>
      </x:c>
      <x:c r="G46" s="25" t="str">
        <x:v>学生已能准确命名局面并说明其风险</x:v>
      </x:c>
      <x:c r="H46" s="26" t="n">
        <x:v>2</x:v>
      </x:c>
    </x:row>
    <x:row r="47">
      <x:c r="A47" s="24" t="str">
        <x:v>SC-P4.02-2</x:v>
      </x:c>
      <x:c r="B47" s="25" t="str">
        <x:v>P4.02</x:v>
      </x:c>
      <x:c r="C47" s="25" t="str">
        <x:v>学生已识别局面但缺少可执行行动时</x:v>
      </x:c>
      <x:c r="D47" s="25" t="str">
        <x:v>二级</x:v>
      </x:c>
      <x:c r="E47" s="25" t="str">
        <x:v>行动线索</x:v>
      </x:c>
      <x:c r="F47" s="25" t="str">
        <x:v>可从这些方向组织下一步：接受还盘区分、有效接受要件、接受定义、还盘法律规则、订货确认。先说明依据，再提出条件或行动。</x:v>
      </x:c>
      <x:c r="G47" s="25" t="str">
        <x:v>学生已能独立选择知识或策略并提出具体行动</x:v>
      </x:c>
      <x:c r="H47" s="26" t="n">
        <x:v>2</x:v>
      </x:c>
    </x:row>
    <x:row r="48">
      <x:c r="A48" s="24" t="str">
        <x:v>SC-P4.03-1</x:v>
      </x:c>
      <x:c r="B48" s="25" t="str">
        <x:v>P4.03</x:v>
      </x:c>
      <x:c r="C48" s="25" t="str">
        <x:v>学生尚未识别当前局面或风险时</x:v>
      </x:c>
      <x:c r="D48" s="25" t="str">
        <x:v>一级</x:v>
      </x:c>
      <x:c r="E48" s="25" t="str">
        <x:v>识别线索</x:v>
      </x:c>
      <x:c r="F48" s="25" t="str">
        <x:v>留意：双方对合同成立时间、通知媒介或条款是否一致存在分歧。</x:v>
      </x:c>
      <x:c r="G48" s="25" t="str">
        <x:v>学生已能准确命名局面并说明其风险</x:v>
      </x:c>
      <x:c r="H48" s="26" t="n">
        <x:v>2</x:v>
      </x:c>
    </x:row>
    <x:row r="49">
      <x:c r="A49" s="24" t="str">
        <x:v>SC-P4.03-2</x:v>
      </x:c>
      <x:c r="B49" s="25" t="str">
        <x:v>P4.03</x:v>
      </x:c>
      <x:c r="C49" s="25" t="str">
        <x:v>学生已识别局面但缺少可执行行动时</x:v>
      </x:c>
      <x:c r="D49" s="25" t="str">
        <x:v>二级</x:v>
      </x:c>
      <x:c r="E49" s="25" t="str">
        <x:v>行动线索</x:v>
      </x:c>
      <x:c r="F49" s="25" t="str">
        <x:v>可从这些方向组织下一步：合同成立条款、有效接受要件、接受通知规则、接受定义、沉默与默示接受。先说明依据，再提出条件或行动。</x:v>
      </x:c>
      <x:c r="G49" s="25" t="str">
        <x:v>学生已能独立选择知识或策略并提出具体行动</x:v>
      </x:c>
      <x:c r="H49" s="26" t="n">
        <x:v>2</x:v>
      </x:c>
    </x:row>
    <x:row r="50">
      <x:c r="A50" s="24" t="str">
        <x:v>SC-P4.04-1</x:v>
      </x:c>
      <x:c r="B50" s="25" t="str">
        <x:v>P4.04</x:v>
      </x:c>
      <x:c r="C50" s="25" t="str">
        <x:v>学生尚未识别当前局面或风险时</x:v>
      </x:c>
      <x:c r="D50" s="25" t="str">
        <x:v>一级</x:v>
      </x:c>
      <x:c r="E50" s="25" t="str">
        <x:v>识别线索</x:v>
      </x:c>
      <x:c r="F50" s="25" t="str">
        <x:v>留意：有效接受已经约束双方后，买方或卖方仍试图退出交易。</x:v>
      </x:c>
      <x:c r="G50" s="25" t="str">
        <x:v>学生已能准确命名局面并说明其风险</x:v>
      </x:c>
      <x:c r="H50" s="26" t="n">
        <x:v>2</x:v>
      </x:c>
    </x:row>
    <x:row r="51">
      <x:c r="A51" s="24" t="str">
        <x:v>SC-P4.04-2</x:v>
      </x:c>
      <x:c r="B51" s="25" t="str">
        <x:v>P4.04</x:v>
      </x:c>
      <x:c r="C51" s="25" t="str">
        <x:v>学生已识别局面但缺少可执行行动时</x:v>
      </x:c>
      <x:c r="D51" s="25" t="str">
        <x:v>二级</x:v>
      </x:c>
      <x:c r="E51" s="25" t="str">
        <x:v>行动线索</x:v>
      </x:c>
      <x:c r="F51" s="25" t="str">
        <x:v>可从这些方向组织下一步：订单变更取消、合同成立条款、合同免责条款、迟延交付违约。先说明依据，再提出条件或行动。</x:v>
      </x:c>
      <x:c r="G51" s="25" t="str">
        <x:v>学生已能独立选择知识或策略并提出具体行动</x:v>
      </x:c>
      <x:c r="H51" s="26" t="n">
        <x:v>2</x:v>
      </x:c>
    </x:row>
    <x:row r="52">
      <x:c r="A52" s="24" t="str">
        <x:v>SC-P4.05-1</x:v>
      </x:c>
      <x:c r="B52" s="25" t="str">
        <x:v>P4.05</x:v>
      </x:c>
      <x:c r="C52" s="25" t="str">
        <x:v>学生尚未识别当前局面或风险时</x:v>
      </x:c>
      <x:c r="D52" s="25" t="str">
        <x:v>一级</x:v>
      </x:c>
      <x:c r="E52" s="25" t="str">
        <x:v>识别线索</x:v>
      </x:c>
      <x:c r="F52" s="25" t="str">
        <x:v>留意：生产或订舱开始后，数量、规格或装运日期被再次修改。</x:v>
      </x:c>
      <x:c r="G52" s="25" t="str">
        <x:v>学生已能准确命名局面并说明其风险</x:v>
      </x:c>
      <x:c r="H52" s="26" t="n">
        <x:v>2</x:v>
      </x:c>
    </x:row>
    <x:row r="53">
      <x:c r="A53" s="24" t="str">
        <x:v>SC-P4.05-2</x:v>
      </x:c>
      <x:c r="B53" s="25" t="str">
        <x:v>P4.05</x:v>
      </x:c>
      <x:c r="C53" s="25" t="str">
        <x:v>学生已识别局面但缺少可执行行动时</x:v>
      </x:c>
      <x:c r="D53" s="25" t="str">
        <x:v>二级</x:v>
      </x:c>
      <x:c r="E53" s="25" t="str">
        <x:v>行动线索</x:v>
      </x:c>
      <x:c r="F53" s="25" t="str">
        <x:v>可从这些方向组织下一步：订单变更取消、订单履约监控、合同成立条款、交期跟踪。先说明依据，再提出条件或行动。</x:v>
      </x:c>
      <x:c r="G53" s="25" t="str">
        <x:v>学生已能独立选择知识或策略并提出具体行动</x:v>
      </x:c>
      <x:c r="H53" s="26" t="n">
        <x:v>2</x:v>
      </x:c>
    </x:row>
    <x:row r="54">
      <x:c r="A54" s="24" t="str">
        <x:v>SC-P4.06-1</x:v>
      </x:c>
      <x:c r="B54" s="25" t="str">
        <x:v>P4.06</x:v>
      </x:c>
      <x:c r="C54" s="25" t="str">
        <x:v>学生尚未识别当前局面或风险时</x:v>
      </x:c>
      <x:c r="D54" s="25" t="str">
        <x:v>一级</x:v>
      </x:c>
      <x:c r="E54" s="25" t="str">
        <x:v>识别线索</x:v>
      </x:c>
      <x:c r="F54" s="25" t="str">
        <x:v>留意：礼貌附和或“我们会研究”被误解为无条件接受。</x:v>
      </x:c>
      <x:c r="G54" s="25" t="str">
        <x:v>学生已能准确命名局面并说明其风险</x:v>
      </x:c>
      <x:c r="H54" s="26" t="n">
        <x:v>2</x:v>
      </x:c>
    </x:row>
    <x:row r="55">
      <x:c r="A55" s="24" t="str">
        <x:v>SC-P4.06-2</x:v>
      </x:c>
      <x:c r="B55" s="25" t="str">
        <x:v>P4.06</x:v>
      </x:c>
      <x:c r="C55" s="25" t="str">
        <x:v>学生已识别局面但缺少可执行行动时</x:v>
      </x:c>
      <x:c r="D55" s="25" t="str">
        <x:v>二级</x:v>
      </x:c>
      <x:c r="E55" s="25" t="str">
        <x:v>行动线索</x:v>
      </x:c>
      <x:c r="F55" s="25" t="str">
        <x:v>可从这些方向组织下一步：接受跨文化差异、有效接受要件、接受还盘区分、订货确认。先说明依据，再提出条件或行动。</x:v>
      </x:c>
      <x:c r="G55" s="25" t="str">
        <x:v>学生已能独立选择知识或策略并提出具体行动</x:v>
      </x:c>
      <x:c r="H55" s="26" t="n">
        <x:v>2</x:v>
      </x:c>
    </x:row>
    <x:row r="56">
      <x:c r="A56" s="24" t="str">
        <x:v>SC-P4.07-1</x:v>
      </x:c>
      <x:c r="B56" s="25" t="str">
        <x:v>P4.07</x:v>
      </x:c>
      <x:c r="C56" s="25" t="str">
        <x:v>学生尚未识别当前局面或风险时</x:v>
      </x:c>
      <x:c r="D56" s="25" t="str">
        <x:v>一级</x:v>
      </x:c>
      <x:c r="E56" s="25" t="str">
        <x:v>识别线索</x:v>
      </x:c>
      <x:c r="F56" s="25" t="str">
        <x:v>留意：已确认的装运窗口不断后移，却没有监控、免责分析或及时通知。</x:v>
      </x:c>
      <x:c r="G56" s="25" t="str">
        <x:v>学生已能准确命名局面并说明其风险</x:v>
      </x:c>
      <x:c r="H56" s="26" t="n">
        <x:v>2</x:v>
      </x:c>
    </x:row>
    <x:row r="57">
      <x:c r="A57" s="24" t="str">
        <x:v>SC-P4.07-2</x:v>
      </x:c>
      <x:c r="B57" s="25" t="str">
        <x:v>P4.07</x:v>
      </x:c>
      <x:c r="C57" s="25" t="str">
        <x:v>学生已识别局面但缺少可执行行动时</x:v>
      </x:c>
      <x:c r="D57" s="25" t="str">
        <x:v>二级</x:v>
      </x:c>
      <x:c r="E57" s="25" t="str">
        <x:v>行动线索</x:v>
      </x:c>
      <x:c r="F57" s="25" t="str">
        <x:v>可从这些方向组织下一步：交期跟踪、订单履约监控、质保售后、迟延交付违约、装运时间管理。先说明依据，再提出条件或行动。</x:v>
      </x:c>
      <x:c r="G57" s="25" t="str">
        <x:v>学生已能独立选择知识或策略并提出具体行动</x:v>
      </x:c>
      <x:c r="H57" s="26" t="n">
        <x:v>2</x:v>
      </x:c>
    </x:row>
    <x:row r="58">
      <x:c r="A58" s="24" t="str">
        <x:v>SC-P5.01-1</x:v>
      </x:c>
      <x:c r="B58" s="25" t="str">
        <x:v>P5.01</x:v>
      </x:c>
      <x:c r="C58" s="25" t="str">
        <x:v>学生尚未识别当前局面或风险时</x:v>
      </x:c>
      <x:c r="D58" s="25" t="str">
        <x:v>一级</x:v>
      </x:c>
      <x:c r="E58" s="25" t="str">
        <x:v>识别线索</x:v>
      </x:c>
      <x:c r="F58" s="25" t="str">
        <x:v>留意：出口包装与运输方式不匹配，或遗漏防潮、防盗保护。</x:v>
      </x:c>
      <x:c r="G58" s="25" t="str">
        <x:v>学生已能准确命名局面并说明其风险</x:v>
      </x:c>
      <x:c r="H58" s="26" t="n">
        <x:v>2</x:v>
      </x:c>
    </x:row>
    <x:row r="59">
      <x:c r="A59" s="24" t="str">
        <x:v>SC-P5.01-2</x:v>
      </x:c>
      <x:c r="B59" s="25" t="str">
        <x:v>P5.01</x:v>
      </x:c>
      <x:c r="C59" s="25" t="str">
        <x:v>学生已识别局面但缺少可执行行动时</x:v>
      </x:c>
      <x:c r="D59" s="25" t="str">
        <x:v>二级</x:v>
      </x:c>
      <x:c r="E59" s="25" t="str">
        <x:v>行动线索</x:v>
      </x:c>
      <x:c r="F59" s="25" t="str">
        <x:v>可从这些方向组织下一步：出口包装要求、防潮防盗包装、空海运包装差异、装运风险管理、包装成本控制。先说明依据，再提出条件或行动。</x:v>
      </x:c>
      <x:c r="G59" s="25" t="str">
        <x:v>学生已能独立选择知识或策略并提出具体行动</x:v>
      </x:c>
      <x:c r="H59" s="26" t="n">
        <x:v>2</x:v>
      </x:c>
    </x:row>
    <x:row r="60">
      <x:c r="A60" s="24" t="str">
        <x:v>SC-P5.02-1</x:v>
      </x:c>
      <x:c r="B60" s="25" t="str">
        <x:v>P5.02</x:v>
      </x:c>
      <x:c r="C60" s="25" t="str">
        <x:v>学生尚未识别当前局面或风险时</x:v>
      </x:c>
      <x:c r="D60" s="25" t="str">
        <x:v>一级</x:v>
      </x:c>
      <x:c r="E60" s="25" t="str">
        <x:v>识别线索</x:v>
      </x:c>
      <x:c r="F60" s="25" t="str">
        <x:v>留意：唛头、编号或装卸标识缺失、错误或无法辨认。</x:v>
      </x:c>
      <x:c r="G60" s="25" t="str">
        <x:v>学生已能准确命名局面并说明其风险</x:v>
      </x:c>
      <x:c r="H60" s="26" t="n">
        <x:v>2</x:v>
      </x:c>
    </x:row>
    <x:row r="61">
      <x:c r="A61" s="24" t="str">
        <x:v>SC-P5.02-2</x:v>
      </x:c>
      <x:c r="B61" s="25" t="str">
        <x:v>P5.02</x:v>
      </x:c>
      <x:c r="C61" s="25" t="str">
        <x:v>学生已识别局面但缺少可执行行动时</x:v>
      </x:c>
      <x:c r="D61" s="25" t="str">
        <x:v>二级</x:v>
      </x:c>
      <x:c r="E61" s="25" t="str">
        <x:v>行动线索</x:v>
      </x:c>
      <x:c r="F61" s="25" t="str">
        <x:v>可从这些方向组织下一步：包装唛头标志、装运通知跟踪、装运文化敏感、运输海关港口规则。先说明依据，再提出条件或行动。</x:v>
      </x:c>
      <x:c r="G61" s="25" t="str">
        <x:v>学生已能独立选择知识或策略并提出具体行动</x:v>
      </x:c>
      <x:c r="H61" s="26" t="n">
        <x:v>2</x:v>
      </x:c>
    </x:row>
    <x:row r="62">
      <x:c r="A62" s="24" t="str">
        <x:v>SC-P5.03-1</x:v>
      </x:c>
      <x:c r="B62" s="25" t="str">
        <x:v>P5.03</x:v>
      </x:c>
      <x:c r="C62" s="25" t="str">
        <x:v>学生尚未识别当前局面或风险时</x:v>
      </x:c>
      <x:c r="D62" s="25" t="str">
        <x:v>一级</x:v>
      </x:c>
      <x:c r="E62" s="25" t="str">
        <x:v>识别线索</x:v>
      </x:c>
      <x:c r="F62" s="25" t="str">
        <x:v>留意：重量分布、垫塞或绑扎不当，造成货移或集装箱超重。</x:v>
      </x:c>
      <x:c r="G62" s="25" t="str">
        <x:v>学生已能准确命名局面并说明其风险</x:v>
      </x:c>
      <x:c r="H62" s="26" t="n">
        <x:v>2</x:v>
      </x:c>
    </x:row>
    <x:row r="63">
      <x:c r="A63" s="24" t="str">
        <x:v>SC-P5.03-2</x:v>
      </x:c>
      <x:c r="B63" s="25" t="str">
        <x:v>P5.03</x:v>
      </x:c>
      <x:c r="C63" s="25" t="str">
        <x:v>学生已识别局面但缺少可执行行动时</x:v>
      </x:c>
      <x:c r="D63" s="25" t="str">
        <x:v>二级</x:v>
      </x:c>
      <x:c r="E63" s="25" t="str">
        <x:v>行动线索</x:v>
      </x:c>
      <x:c r="F63" s="25" t="str">
        <x:v>可从这些方向组织下一步：装箱与系固、装运风险管理、出口包装要求、货代选择协作。先说明依据，再提出条件或行动。</x:v>
      </x:c>
      <x:c r="G63" s="25" t="str">
        <x:v>学生已能独立选择知识或策略并提出具体行动</x:v>
      </x:c>
      <x:c r="H63" s="26" t="n">
        <x:v>2</x:v>
      </x:c>
    </x:row>
    <x:row r="64">
      <x:c r="A64" s="24" t="str">
        <x:v>SC-P5.04-1</x:v>
      </x:c>
      <x:c r="B64" s="25" t="str">
        <x:v>P5.04</x:v>
      </x:c>
      <x:c r="C64" s="25" t="str">
        <x:v>学生尚未识别当前局面或风险时</x:v>
      </x:c>
      <x:c r="D64" s="25" t="str">
        <x:v>一级</x:v>
      </x:c>
      <x:c r="E64" s="25" t="str">
        <x:v>识别线索</x:v>
      </x:c>
      <x:c r="F64" s="25" t="str">
        <x:v>留意：空运、海运或铁路选择不经济，或货物错过预订截关时间。</x:v>
      </x:c>
      <x:c r="G64" s="25" t="str">
        <x:v>学生已能准确命名局面并说明其风险</x:v>
      </x:c>
      <x:c r="H64" s="26" t="n">
        <x:v>2</x:v>
      </x:c>
    </x:row>
    <x:row r="65">
      <x:c r="A65" s="24" t="str">
        <x:v>SC-P5.04-2</x:v>
      </x:c>
      <x:c r="B65" s="25" t="str">
        <x:v>P5.04</x:v>
      </x:c>
      <x:c r="C65" s="25" t="str">
        <x:v>学生已识别局面但缺少可执行行动时</x:v>
      </x:c>
      <x:c r="D65" s="25" t="str">
        <x:v>二级</x:v>
      </x:c>
      <x:c r="E65" s="25" t="str">
        <x:v>行动线索</x:v>
      </x:c>
      <x:c r="F65" s="25" t="str">
        <x:v>可从这些方向组织下一步：运输方式选择、装运时间管理、货代选择协作、交期跟踪。先说明依据，再提出条件或行动。</x:v>
      </x:c>
      <x:c r="G65" s="25" t="str">
        <x:v>学生已能独立选择知识或策略并提出具体行动</x:v>
      </x:c>
      <x:c r="H65" s="26" t="n">
        <x:v>2</x:v>
      </x:c>
    </x:row>
    <x:row r="66">
      <x:c r="A66" s="24" t="str">
        <x:v>SC-P5.05-1</x:v>
      </x:c>
      <x:c r="B66" s="25" t="str">
        <x:v>P5.05</x:v>
      </x:c>
      <x:c r="C66" s="25" t="str">
        <x:v>学生尚未识别当前局面或风险时</x:v>
      </x:c>
      <x:c r="D66" s="25" t="str">
        <x:v>一级</x:v>
      </x:c>
      <x:c r="E66" s="25" t="str">
        <x:v>识别线索</x:v>
      </x:c>
      <x:c r="F66" s="25" t="str">
        <x:v>留意：未及时通知买方、保险人或银行，进而阻碍承保、付款或提货。</x:v>
      </x:c>
      <x:c r="G66" s="25" t="str">
        <x:v>学生已能准确命名局面并说明其风险</x:v>
      </x:c>
      <x:c r="H66" s="26" t="n">
        <x:v>2</x:v>
      </x:c>
    </x:row>
    <x:row r="67">
      <x:c r="A67" s="24" t="str">
        <x:v>SC-P5.05-2</x:v>
      </x:c>
      <x:c r="B67" s="25" t="str">
        <x:v>P5.05</x:v>
      </x:c>
      <x:c r="C67" s="25" t="str">
        <x:v>学生已识别局面但缺少可执行行动时</x:v>
      </x:c>
      <x:c r="D67" s="25" t="str">
        <x:v>二级</x:v>
      </x:c>
      <x:c r="E67" s="25" t="str">
        <x:v>行动线索</x:v>
      </x:c>
      <x:c r="F67" s="25" t="str">
        <x:v>可从这些方向组织下一步：装运通知跟踪、运输海关港口规则、投保索赔程序、信用证规则。先说明依据，再提出条件或行动。</x:v>
      </x:c>
      <x:c r="G67" s="25" t="str">
        <x:v>学生已能独立选择知识或策略并提出具体行动</x:v>
      </x:c>
      <x:c r="H67" s="26" t="n">
        <x:v>2</x:v>
      </x:c>
    </x:row>
    <x:row r="68">
      <x:c r="A68" s="24" t="str">
        <x:v>SC-P5.06-1</x:v>
      </x:c>
      <x:c r="B68" s="25" t="str">
        <x:v>P5.06</x:v>
      </x:c>
      <x:c r="C68" s="25" t="str">
        <x:v>学生尚未识别当前局面或风险时</x:v>
      </x:c>
      <x:c r="D68" s="25" t="str">
        <x:v>一级</x:v>
      </x:c>
      <x:c r="E68" s="25" t="str">
        <x:v>识别线索</x:v>
      </x:c>
      <x:c r="F68" s="25" t="str">
        <x:v>留意：木质包装、塑料或标签违反 ISPM 15 或目的地绿色规则。</x:v>
      </x:c>
      <x:c r="G68" s="25" t="str">
        <x:v>学生已能准确命名局面并说明其风险</x:v>
      </x:c>
      <x:c r="H68" s="26" t="n">
        <x:v>2</x:v>
      </x:c>
    </x:row>
    <x:row r="69">
      <x:c r="A69" s="24" t="str">
        <x:v>SC-P5.06-2</x:v>
      </x:c>
      <x:c r="B69" s="25" t="str">
        <x:v>P5.06</x:v>
      </x:c>
      <x:c r="C69" s="25" t="str">
        <x:v>学生已识别局面但缺少可执行行动时</x:v>
      </x:c>
      <x:c r="D69" s="25" t="str">
        <x:v>二级</x:v>
      </x:c>
      <x:c r="E69" s="25" t="str">
        <x:v>行动线索</x:v>
      </x:c>
      <x:c r="F69" s="25" t="str">
        <x:v>可从这些方向组织下一步：包装环保法规、出口包装要求、多国认证测试、运输海关港口规则。先说明依据，再提出条件或行动。</x:v>
      </x:c>
      <x:c r="G69" s="25" t="str">
        <x:v>学生已能独立选择知识或策略并提出具体行动</x:v>
      </x:c>
      <x:c r="H69" s="26" t="n">
        <x:v>2</x:v>
      </x:c>
    </x:row>
    <x:row r="70">
      <x:c r="A70" s="24" t="str">
        <x:v>SC-P5.07-1</x:v>
      </x:c>
      <x:c r="B70" s="25" t="str">
        <x:v>P5.07</x:v>
      </x:c>
      <x:c r="C70" s="25" t="str">
        <x:v>学生尚未识别当前局面或风险时</x:v>
      </x:c>
      <x:c r="D70" s="25" t="str">
        <x:v>一级</x:v>
      </x:c>
      <x:c r="E70" s="25" t="str">
        <x:v>识别线索</x:v>
      </x:c>
      <x:c r="F70" s="25" t="str">
        <x:v>留意：报关行、货代与托运人未能对齐单证，导致集装箱滞港。</x:v>
      </x:c>
      <x:c r="G70" s="25" t="str">
        <x:v>学生已能准确命名局面并说明其风险</x:v>
      </x:c>
      <x:c r="H70" s="26" t="n">
        <x:v>2</x:v>
      </x:c>
    </x:row>
    <x:row r="71">
      <x:c r="A71" s="24" t="str">
        <x:v>SC-P5.07-2</x:v>
      </x:c>
      <x:c r="B71" s="25" t="str">
        <x:v>P5.07</x:v>
      </x:c>
      <x:c r="C71" s="25" t="str">
        <x:v>学生已识别局面但缺少可执行行动时</x:v>
      </x:c>
      <x:c r="D71" s="25" t="str">
        <x:v>二级</x:v>
      </x:c>
      <x:c r="E71" s="25" t="str">
        <x:v>行动线索</x:v>
      </x:c>
      <x:c r="F71" s="25" t="str">
        <x:v>可从这些方向组织下一步：货代选择协作、运输海关港口规则、装运通知跟踪、订货确认。先说明依据，再提出条件或行动。</x:v>
      </x:c>
      <x:c r="G71" s="25" t="str">
        <x:v>学生已能独立选择知识或策略并提出具体行动</x:v>
      </x:c>
      <x:c r="H71" s="26" t="n">
        <x:v>2</x:v>
      </x:c>
    </x:row>
    <x:row r="72">
      <x:c r="A72" s="24" t="str">
        <x:v>SC-P5.08-1</x:v>
      </x:c>
      <x:c r="B72" s="25" t="str">
        <x:v>P5.08</x:v>
      </x:c>
      <x:c r="C72" s="25" t="str">
        <x:v>学生尚未识别当前局面或风险时</x:v>
      </x:c>
      <x:c r="D72" s="25" t="str">
        <x:v>一级</x:v>
      </x:c>
      <x:c r="E72" s="25" t="str">
        <x:v>识别线索</x:v>
      </x:c>
      <x:c r="F72" s="25" t="str">
        <x:v>留意：外包装颜色、数字或图案冒犯目的地市场的文化与宗教习惯。</x:v>
      </x:c>
      <x:c r="G72" s="25" t="str">
        <x:v>学生已能准确命名局面并说明其风险</x:v>
      </x:c>
      <x:c r="H72" s="26" t="n">
        <x:v>2</x:v>
      </x:c>
    </x:row>
    <x:row r="73">
      <x:c r="A73" s="24" t="str">
        <x:v>SC-P5.08-2</x:v>
      </x:c>
      <x:c r="B73" s="25" t="str">
        <x:v>P5.08</x:v>
      </x:c>
      <x:c r="C73" s="25" t="str">
        <x:v>学生已识别局面但缺少可执行行动时</x:v>
      </x:c>
      <x:c r="D73" s="25" t="str">
        <x:v>二级</x:v>
      </x:c>
      <x:c r="E73" s="25" t="str">
        <x:v>行动线索</x:v>
      </x:c>
      <x:c r="F73" s="25" t="str">
        <x:v>可从这些方向组织下一步：装运文化敏感、包装唛头标志、询盘跨文化礼仪。先说明依据，再提出条件或行动。</x:v>
      </x:c>
      <x:c r="G73" s="25" t="str">
        <x:v>学生已能独立选择知识或策略并提出具体行动</x:v>
      </x:c>
      <x:c r="H73" s="26" t="n">
        <x:v>2</x:v>
      </x:c>
    </x:row>
    <x:row r="74">
      <x:c r="A74" s="24" t="str">
        <x:v>SC-P6.01-1</x:v>
      </x:c>
      <x:c r="B74" s="25" t="str">
        <x:v>P6.01</x:v>
      </x:c>
      <x:c r="C74" s="25" t="str">
        <x:v>学生尚未识别当前局面或风险时</x:v>
      </x:c>
      <x:c r="D74" s="25" t="str">
        <x:v>一级</x:v>
      </x:c>
      <x:c r="E74" s="25" t="str">
        <x:v>识别线索</x:v>
      </x:c>
      <x:c r="F74" s="25" t="str">
        <x:v>留意：双方在 L/C、T/T 与托收之间僵持，各自拒绝承担相应风险。</x:v>
      </x:c>
      <x:c r="G74" s="25" t="str">
        <x:v>学生已能准确命名局面并说明其风险</x:v>
      </x:c>
      <x:c r="H74" s="26" t="n">
        <x:v>2</x:v>
      </x:c>
    </x:row>
    <x:row r="75">
      <x:c r="A75" s="24" t="str">
        <x:v>SC-P6.01-2</x:v>
      </x:c>
      <x:c r="B75" s="25" t="str">
        <x:v>P6.01</x:v>
      </x:c>
      <x:c r="C75" s="25" t="str">
        <x:v>学生已识别局面但缺少可执行行动时</x:v>
      </x:c>
      <x:c r="D75" s="25" t="str">
        <x:v>二级</x:v>
      </x:c>
      <x:c r="E75" s="25" t="str">
        <x:v>行动线索</x:v>
      </x:c>
      <x:c r="F75" s="25" t="str">
        <x:v>可从这些方向组织下一步：付款僵局处理、付款方式选择、混合付款设计、付款跨文化差异、以退为进。先说明依据，再提出条件或行动。</x:v>
      </x:c>
      <x:c r="G75" s="25" t="str">
        <x:v>学生已能独立选择知识或策略并提出具体行动</x:v>
      </x:c>
      <x:c r="H75" s="26" t="n">
        <x:v>2</x:v>
      </x:c>
    </x:row>
    <x:row r="76">
      <x:c r="A76" s="24" t="str">
        <x:v>SC-P6.02-1</x:v>
      </x:c>
      <x:c r="B76" s="25" t="str">
        <x:v>P6.02</x:v>
      </x:c>
      <x:c r="C76" s="25" t="str">
        <x:v>学生尚未识别当前局面或风险时</x:v>
      </x:c>
      <x:c r="D76" s="25" t="str">
        <x:v>一级</x:v>
      </x:c>
      <x:c r="E76" s="25" t="str">
        <x:v>识别线索</x:v>
      </x:c>
      <x:c r="F76" s="25" t="str">
        <x:v>留意：单据未通过严格相符审查，即使货物合格，银行仍可能拒付。</x:v>
      </x:c>
      <x:c r="G76" s="25" t="str">
        <x:v>学生已能准确命名局面并说明其风险</x:v>
      </x:c>
      <x:c r="H76" s="26" t="n">
        <x:v>2</x:v>
      </x:c>
    </x:row>
    <x:row r="77">
      <x:c r="A77" s="24" t="str">
        <x:v>SC-P6.02-2</x:v>
      </x:c>
      <x:c r="B77" s="25" t="str">
        <x:v>P6.02</x:v>
      </x:c>
      <x:c r="C77" s="25" t="str">
        <x:v>学生已识别局面但缺少可执行行动时</x:v>
      </x:c>
      <x:c r="D77" s="25" t="str">
        <x:v>二级</x:v>
      </x:c>
      <x:c r="E77" s="25" t="str">
        <x:v>行动线索</x:v>
      </x:c>
      <x:c r="F77" s="25" t="str">
        <x:v>可从这些方向组织下一步：信用证规则、银行与托收操作、检验证书单据、发盘函写作、装运通知跟踪。先说明依据，再提出条件或行动。</x:v>
      </x:c>
      <x:c r="G77" s="25" t="str">
        <x:v>学生已能独立选择知识或策略并提出具体行动</x:v>
      </x:c>
      <x:c r="H77" s="26" t="n">
        <x:v>2</x:v>
      </x:c>
    </x:row>
    <x:row r="78">
      <x:c r="A78" s="24" t="str">
        <x:v>SC-P6.03-1</x:v>
      </x:c>
      <x:c r="B78" s="25" t="str">
        <x:v>P6.03</x:v>
      </x:c>
      <x:c r="C78" s="25" t="str">
        <x:v>学生尚未识别当前局面或风险时</x:v>
      </x:c>
      <x:c r="D78" s="25" t="str">
        <x:v>一级</x:v>
      </x:c>
      <x:c r="E78" s="25" t="str">
        <x:v>识别线索</x:v>
      </x:c>
      <x:c r="F78" s="25" t="str">
        <x:v>留意：报价币种在发盘至收款期间波动，吞噬预期利润。</x:v>
      </x:c>
      <x:c r="G78" s="25" t="str">
        <x:v>学生已能准确命名局面并说明其风险</x:v>
      </x:c>
      <x:c r="H78" s="26" t="n">
        <x:v>2</x:v>
      </x:c>
    </x:row>
    <x:row r="79">
      <x:c r="A79" s="24" t="str">
        <x:v>SC-P6.03-2</x:v>
      </x:c>
      <x:c r="B79" s="25" t="str">
        <x:v>P6.03</x:v>
      </x:c>
      <x:c r="C79" s="25" t="str">
        <x:v>学生已识别局面但缺少可执行行动时</x:v>
      </x:c>
      <x:c r="D79" s="25" t="str">
        <x:v>二级</x:v>
      </x:c>
      <x:c r="E79" s="25" t="str">
        <x:v>行动线索</x:v>
      </x:c>
      <x:c r="F79" s="25" t="str">
        <x:v>可从这些方向组织下一步：汇率风险管理、混合付款设计、定价因素、发盘风控、发盘有效期。先说明依据，再提出条件或行动。</x:v>
      </x:c>
      <x:c r="G79" s="25" t="str">
        <x:v>学生已能独立选择知识或策略并提出具体行动</x:v>
      </x:c>
      <x:c r="H79" s="26" t="n">
        <x:v>2</x:v>
      </x:c>
    </x:row>
    <x:row r="80">
      <x:c r="A80" s="24" t="str">
        <x:v>SC-P6.04-1</x:v>
      </x:c>
      <x:c r="B80" s="25" t="str">
        <x:v>P6.04</x:v>
      </x:c>
      <x:c r="C80" s="25" t="str">
        <x:v>学生尚未识别当前局面或风险时</x:v>
      </x:c>
      <x:c r="D80" s="25" t="str">
        <x:v>一级</x:v>
      </x:c>
      <x:c r="E80" s="25" t="str">
        <x:v>识别线索</x:v>
      </x:c>
      <x:c r="F80" s="25" t="str">
        <x:v>留意：定金已付，但余款、D/A 或赊销账期被反复拖延甚至违约。</x:v>
      </x:c>
      <x:c r="G80" s="25" t="str">
        <x:v>学生已能准确命名局面并说明其风险</x:v>
      </x:c>
      <x:c r="H80" s="26" t="n">
        <x:v>2</x:v>
      </x:c>
    </x:row>
    <x:row r="81">
      <x:c r="A81" s="24" t="str">
        <x:v>SC-P6.04-2</x:v>
      </x:c>
      <x:c r="B81" s="25" t="str">
        <x:v>P6.04</x:v>
      </x:c>
      <x:c r="C81" s="25" t="str">
        <x:v>学生已识别局面但缺少可执行行动时</x:v>
      </x:c>
      <x:c r="D81" s="25" t="str">
        <x:v>二级</x:v>
      </x:c>
      <x:c r="E81" s="25" t="str">
        <x:v>行动线索</x:v>
      </x:c>
      <x:c r="F81" s="25" t="str">
        <x:v>可从这些方向组织下一步：电汇 T/T、预付款与融资、银行与托收操作、跟单托收、付款方式选择。先说明依据，再提出条件或行动。</x:v>
      </x:c>
      <x:c r="G81" s="25" t="str">
        <x:v>学生已能独立选择知识或策略并提出具体行动</x:v>
      </x:c>
      <x:c r="H81" s="26" t="n">
        <x:v>2</x:v>
      </x:c>
    </x:row>
    <x:row r="82">
      <x:c r="A82" s="24" t="str">
        <x:v>SC-P6.05-1</x:v>
      </x:c>
      <x:c r="B82" s="25" t="str">
        <x:v>P6.05</x:v>
      </x:c>
      <x:c r="C82" s="25" t="str">
        <x:v>学生尚未识别当前局面或风险时</x:v>
      </x:c>
      <x:c r="D82" s="25" t="str">
        <x:v>一级</x:v>
      </x:c>
      <x:c r="E82" s="25" t="str">
        <x:v>识别线索</x:v>
      </x:c>
      <x:c r="F82" s="25" t="str">
        <x:v>留意：货物超出合同期限交付，且不存在有效免责事由。</x:v>
      </x:c>
      <x:c r="G82" s="25" t="str">
        <x:v>学生已能准确命名局面并说明其风险</x:v>
      </x:c>
      <x:c r="H82" s="26" t="n">
        <x:v>2</x:v>
      </x:c>
    </x:row>
    <x:row r="83">
      <x:c r="A83" s="24" t="str">
        <x:v>SC-P6.05-2</x:v>
      </x:c>
      <x:c r="B83" s="25" t="str">
        <x:v>P6.05</x:v>
      </x:c>
      <x:c r="C83" s="25" t="str">
        <x:v>学生已识别局面但缺少可执行行动时</x:v>
      </x:c>
      <x:c r="D83" s="25" t="str">
        <x:v>二级</x:v>
      </x:c>
      <x:c r="E83" s="25" t="str">
        <x:v>行动线索</x:v>
      </x:c>
      <x:c r="F83" s="25" t="str">
        <x:v>可从这些方向组织下一步：迟延交付违约、交付验收标准、交期跟踪、合同免责条款、不可抗力规则。先说明依据，再提出条件或行动。</x:v>
      </x:c>
      <x:c r="G83" s="25" t="str">
        <x:v>学生已能独立选择知识或策略并提出具体行动</x:v>
      </x:c>
      <x:c r="H83" s="26" t="n">
        <x:v>2</x:v>
      </x:c>
    </x:row>
    <x:row r="84">
      <x:c r="A84" s="24" t="str">
        <x:v>SC-P6.06-1</x:v>
      </x:c>
      <x:c r="B84" s="25" t="str">
        <x:v>P6.06</x:v>
      </x:c>
      <x:c r="C84" s="25" t="str">
        <x:v>学生尚未识别当前局面或风险时</x:v>
      </x:c>
      <x:c r="D84" s="25" t="str">
        <x:v>一级</x:v>
      </x:c>
      <x:c r="E84" s="25" t="str">
        <x:v>识别线索</x:v>
      </x:c>
      <x:c r="F84" s="25" t="str">
        <x:v>留意：双方对所选贸易条件下何为“已交付”或“已接受”理解不一。</x:v>
      </x:c>
      <x:c r="G84" s="25" t="str">
        <x:v>学生已能准确命名局面并说明其风险</x:v>
      </x:c>
      <x:c r="H84" s="26" t="n">
        <x:v>2</x:v>
      </x:c>
    </x:row>
    <x:row r="85">
      <x:c r="A85" s="24" t="str">
        <x:v>SC-P6.06-2</x:v>
      </x:c>
      <x:c r="B85" s="25" t="str">
        <x:v>P6.06</x:v>
      </x:c>
      <x:c r="C85" s="25" t="str">
        <x:v>学生已识别局面但缺少可执行行动时</x:v>
      </x:c>
      <x:c r="D85" s="25" t="str">
        <x:v>二级</x:v>
      </x:c>
      <x:c r="E85" s="25" t="str">
        <x:v>行动线索</x:v>
      </x:c>
      <x:c r="F85" s="25" t="str">
        <x:v>可从这些方向组织下一步：交付验收标准、订单履约监控、检验地点时间、FOB 条件、CIF 条件。先说明依据，再提出条件或行动。</x:v>
      </x:c>
      <x:c r="G85" s="25" t="str">
        <x:v>学生已能独立选择知识或策略并提出具体行动</x:v>
      </x:c>
      <x:c r="H85" s="26" t="n">
        <x:v>2</x:v>
      </x:c>
    </x:row>
    <x:row r="86">
      <x:c r="A86" s="24" t="str">
        <x:v>SC-P6.07-1</x:v>
      </x:c>
      <x:c r="B86" s="25" t="str">
        <x:v>P6.07</x:v>
      </x:c>
      <x:c r="C86" s="25" t="str">
        <x:v>学生尚未识别当前局面或风险时</x:v>
      </x:c>
      <x:c r="D86" s="25" t="str">
        <x:v>一级</x:v>
      </x:c>
      <x:c r="E86" s="25" t="str">
        <x:v>识别线索</x:v>
      </x:c>
      <x:c r="F86" s="25" t="str">
        <x:v>留意：例如 30% T/T 加 70% L/C 的方案缺少触发条件、单据清单或汇率安排。</x:v>
      </x:c>
      <x:c r="G86" s="25" t="str">
        <x:v>学生已能准确命名局面并说明其风险</x:v>
      </x:c>
      <x:c r="H86" s="26" t="n">
        <x:v>2</x:v>
      </x:c>
    </x:row>
    <x:row r="87">
      <x:c r="A87" s="24" t="str">
        <x:v>SC-P6.07-2</x:v>
      </x:c>
      <x:c r="B87" s="25" t="str">
        <x:v>P6.07</x:v>
      </x:c>
      <x:c r="C87" s="25" t="str">
        <x:v>学生已识别局面但缺少可执行行动时</x:v>
      </x:c>
      <x:c r="D87" s="25" t="str">
        <x:v>二级</x:v>
      </x:c>
      <x:c r="E87" s="25" t="str">
        <x:v>行动线索</x:v>
      </x:c>
      <x:c r="F87" s="25" t="str">
        <x:v>可从这些方向组织下一步：混合付款设计、付款方式选择、预付款与融资、付款僵局处理、信用证规则。先说明依据，再提出条件或行动。</x:v>
      </x:c>
      <x:c r="G87" s="25" t="str">
        <x:v>学生已能独立选择知识或策略并提出具体行动</x:v>
      </x:c>
      <x:c r="H87" s="26" t="n">
        <x:v>2</x:v>
      </x:c>
    </x:row>
    <x:row r="88">
      <x:c r="A88" s="24" t="str">
        <x:v>SC-P7.01-1</x:v>
      </x:c>
      <x:c r="B88" s="25" t="str">
        <x:v>P7.01</x:v>
      </x:c>
      <x:c r="C88" s="25" t="str">
        <x:v>学生尚未识别当前局面或风险时</x:v>
      </x:c>
      <x:c r="D88" s="25" t="str">
        <x:v>一级</x:v>
      </x:c>
      <x:c r="E88" s="25" t="str">
        <x:v>识别线索</x:v>
      </x:c>
      <x:c r="F88" s="25" t="str">
        <x:v>留意：FOB 卖方倾向产地检验，而 CIF/DDP 买方倾向目的地检验。</x:v>
      </x:c>
      <x:c r="G88" s="25" t="str">
        <x:v>学生已能准确命名局面并说明其风险</x:v>
      </x:c>
      <x:c r="H88" s="26" t="n">
        <x:v>2</x:v>
      </x:c>
    </x:row>
    <x:row r="89">
      <x:c r="A89" s="24" t="str">
        <x:v>SC-P7.01-2</x:v>
      </x:c>
      <x:c r="B89" s="25" t="str">
        <x:v>P7.01</x:v>
      </x:c>
      <x:c r="C89" s="25" t="str">
        <x:v>学生已识别局面但缺少可执行行动时</x:v>
      </x:c>
      <x:c r="D89" s="25" t="str">
        <x:v>二级</x:v>
      </x:c>
      <x:c r="E89" s="25" t="str">
        <x:v>行动线索</x:v>
      </x:c>
      <x:c r="F89" s="25" t="str">
        <x:v>可从这些方向组织下一步：商品检验定义、检验地点时间、商品检验流程、FOB 条件、CIF 条件。先说明依据，再提出条件或行动。</x:v>
      </x:c>
      <x:c r="G89" s="25" t="str">
        <x:v>学生已能独立选择知识或策略并提出具体行动</x:v>
      </x:c>
      <x:c r="H89" s="26" t="n">
        <x:v>2</x:v>
      </x:c>
    </x:row>
    <x:row r="90">
      <x:c r="A90" s="24" t="str">
        <x:v>SC-P7.02-1</x:v>
      </x:c>
      <x:c r="B90" s="25" t="str">
        <x:v>P7.02</x:v>
      </x:c>
      <x:c r="C90" s="25" t="str">
        <x:v>学生尚未识别当前局面或风险时</x:v>
      </x:c>
      <x:c r="D90" s="25" t="str">
        <x:v>一级</x:v>
      </x:c>
      <x:c r="E90" s="25" t="str">
        <x:v>识别线索</x:v>
      </x:c>
      <x:c r="F90" s="25" t="str">
        <x:v>留意：买方国家标准、卖方工厂标准和合同标准彼此不一致。</x:v>
      </x:c>
      <x:c r="G90" s="25" t="str">
        <x:v>学生已能准确命名局面并说明其风险</x:v>
      </x:c>
      <x:c r="H90" s="26" t="n">
        <x:v>2</x:v>
      </x:c>
    </x:row>
    <x:row r="91">
      <x:c r="A91" s="24" t="str">
        <x:v>SC-P7.02-2</x:v>
      </x:c>
      <x:c r="B91" s="25" t="str">
        <x:v>P7.02</x:v>
      </x:c>
      <x:c r="C91" s="25" t="str">
        <x:v>学生已识别局面但缺少可执行行动时</x:v>
      </x:c>
      <x:c r="D91" s="25" t="str">
        <x:v>二级</x:v>
      </x:c>
      <x:c r="E91" s="25" t="str">
        <x:v>行动线索</x:v>
      </x:c>
      <x:c r="F91" s="25" t="str">
        <x:v>可从这些方向组织下一步：检验标准抽样、检验法规质控、检验跨文化差异、检验机构选择。先说明依据，再提出条件或行动。</x:v>
      </x:c>
      <x:c r="G91" s="25" t="str">
        <x:v>学生已能独立选择知识或策略并提出具体行动</x:v>
      </x:c>
      <x:c r="H91" s="26" t="n">
        <x:v>2</x:v>
      </x:c>
    </x:row>
    <x:row r="92">
      <x:c r="A92" s="24" t="str">
        <x:v>SC-P7.03-1</x:v>
      </x:c>
      <x:c r="B92" s="25" t="str">
        <x:v>P7.03</x:v>
      </x:c>
      <x:c r="C92" s="25" t="str">
        <x:v>学生尚未识别当前局面或风险时</x:v>
      </x:c>
      <x:c r="D92" s="25" t="str">
        <x:v>一级</x:v>
      </x:c>
      <x:c r="E92" s="25" t="str">
        <x:v>识别线索</x:v>
      </x:c>
      <x:c r="F92" s="25" t="str">
        <x:v>留意：检验证书数据与信用证、发票或装箱单不一致。</x:v>
      </x:c>
      <x:c r="G92" s="25" t="str">
        <x:v>学生已能准确命名局面并说明其风险</x:v>
      </x:c>
      <x:c r="H92" s="26" t="n">
        <x:v>2</x:v>
      </x:c>
    </x:row>
    <x:row r="93">
      <x:c r="A93" s="24" t="str">
        <x:v>SC-P7.03-2</x:v>
      </x:c>
      <x:c r="B93" s="25" t="str">
        <x:v>P7.03</x:v>
      </x:c>
      <x:c r="C93" s="25" t="str">
        <x:v>学生已识别局面但缺少可执行行动时</x:v>
      </x:c>
      <x:c r="D93" s="25" t="str">
        <x:v>二级</x:v>
      </x:c>
      <x:c r="E93" s="25" t="str">
        <x:v>行动线索</x:v>
      </x:c>
      <x:c r="F93" s="25" t="str">
        <x:v>可从这些方向组织下一步：检验证书单据、信用证规则、检验争议复验、银行与托收操作。先说明依据，再提出条件或行动。</x:v>
      </x:c>
      <x:c r="G93" s="25" t="str">
        <x:v>学生已能独立选择知识或策略并提出具体行动</x:v>
      </x:c>
      <x:c r="H93" s="26" t="n">
        <x:v>2</x:v>
      </x:c>
    </x:row>
    <x:row r="94">
      <x:c r="A94" s="24" t="str">
        <x:v>SC-P7.04-1</x:v>
      </x:c>
      <x:c r="B94" s="25" t="str">
        <x:v>P7.04</x:v>
      </x:c>
      <x:c r="C94" s="25" t="str">
        <x:v>学生尚未识别当前局面或风险时</x:v>
      </x:c>
      <x:c r="D94" s="25" t="str">
        <x:v>一级</x:v>
      </x:c>
      <x:c r="E94" s="25" t="str">
        <x:v>识别线索</x:v>
      </x:c>
      <x:c r="F94" s="25" t="str">
        <x:v>留意：合同未明确 SGS/CCIC 检验费，尤其未约定复验费用。</x:v>
      </x:c>
      <x:c r="G94" s="25" t="str">
        <x:v>学生已能准确命名局面并说明其风险</x:v>
      </x:c>
      <x:c r="H94" s="26" t="n">
        <x:v>2</x:v>
      </x:c>
    </x:row>
    <x:row r="95">
      <x:c r="A95" s="24" t="str">
        <x:v>SC-P7.04-2</x:v>
      </x:c>
      <x:c r="B95" s="25" t="str">
        <x:v>P7.04</x:v>
      </x:c>
      <x:c r="C95" s="25" t="str">
        <x:v>学生已识别局面但缺少可执行行动时</x:v>
      </x:c>
      <x:c r="D95" s="25" t="str">
        <x:v>二级</x:v>
      </x:c>
      <x:c r="E95" s="25" t="str">
        <x:v>行动线索</x:v>
      </x:c>
      <x:c r="F95" s="25" t="str">
        <x:v>可从这些方向组织下一步：检验费用分配、合同成立条款、检验机构选择。先说明依据，再提出条件或行动。</x:v>
      </x:c>
      <x:c r="G95" s="25" t="str">
        <x:v>学生已能独立选择知识或策略并提出具体行动</x:v>
      </x:c>
      <x:c r="H95" s="26" t="n">
        <x:v>2</x:v>
      </x:c>
    </x:row>
    <x:row r="96">
      <x:c r="A96" s="24" t="str">
        <x:v>SC-P7.05-1</x:v>
      </x:c>
      <x:c r="B96" s="25" t="str">
        <x:v>P7.05</x:v>
      </x:c>
      <x:c r="C96" s="25" t="str">
        <x:v>学生尚未识别当前局面或风险时</x:v>
      </x:c>
      <x:c r="D96" s="25" t="str">
        <x:v>一级</x:v>
      </x:c>
      <x:c r="E96" s="25" t="str">
        <x:v>识别线索</x:v>
      </x:c>
      <x:c r="F96" s="25" t="str">
        <x:v>留意：货物通过装运前检验，却因损坏、规格或抽样问题在到货后不合格。</x:v>
      </x:c>
      <x:c r="G96" s="25" t="str">
        <x:v>学生已能准确命名局面并说明其风险</x:v>
      </x:c>
      <x:c r="H96" s="26" t="n">
        <x:v>2</x:v>
      </x:c>
    </x:row>
    <x:row r="97">
      <x:c r="A97" s="24" t="str">
        <x:v>SC-P7.05-2</x:v>
      </x:c>
      <x:c r="B97" s="25" t="str">
        <x:v>P7.05</x:v>
      </x:c>
      <x:c r="C97" s="25" t="str">
        <x:v>学生已识别局面但缺少可执行行动时</x:v>
      </x:c>
      <x:c r="D97" s="25" t="str">
        <x:v>二级</x:v>
      </x:c>
      <x:c r="E97" s="25" t="str">
        <x:v>行动线索</x:v>
      </x:c>
      <x:c r="F97" s="25" t="str">
        <x:v>可从这些方向组织下一步：检验争议复验、检验地点时间、检验保险关系、投保索赔程序、证据链完整性。先说明依据，再提出条件或行动。</x:v>
      </x:c>
      <x:c r="G97" s="25" t="str">
        <x:v>学生已能独立选择知识或策略并提出具体行动</x:v>
      </x:c>
      <x:c r="H97" s="26" t="n">
        <x:v>2</x:v>
      </x:c>
    </x:row>
    <x:row r="98">
      <x:c r="A98" s="24" t="str">
        <x:v>SC-P7.06-1</x:v>
      </x:c>
      <x:c r="B98" s="25" t="str">
        <x:v>P7.06</x:v>
      </x:c>
      <x:c r="C98" s="25" t="str">
        <x:v>学生尚未识别当前局面或风险时</x:v>
      </x:c>
      <x:c r="D98" s="25" t="str">
        <x:v>一级</x:v>
      </x:c>
      <x:c r="E98" s="25" t="str">
        <x:v>识别线索</x:v>
      </x:c>
      <x:c r="F98" s="25" t="str">
        <x:v>留意：双方对批量、AQL 或样品能否代表整批货物发生争议。</x:v>
      </x:c>
      <x:c r="G98" s="25" t="str">
        <x:v>学生已能准确命名局面并说明其风险</x:v>
      </x:c>
      <x:c r="H98" s="26" t="n">
        <x:v>2</x:v>
      </x:c>
    </x:row>
    <x:row r="99">
      <x:c r="A99" s="24" t="str">
        <x:v>SC-P7.06-2</x:v>
      </x:c>
      <x:c r="B99" s="25" t="str">
        <x:v>P7.06</x:v>
      </x:c>
      <x:c r="C99" s="25" t="str">
        <x:v>学生已识别局面但缺少可执行行动时</x:v>
      </x:c>
      <x:c r="D99" s="25" t="str">
        <x:v>二级</x:v>
      </x:c>
      <x:c r="E99" s="25" t="str">
        <x:v>行动线索</x:v>
      </x:c>
      <x:c r="F99" s="25" t="str">
        <x:v>可从这些方向组织下一步：检验标准抽样、检验争议复验、检验跨文化差异、检验法规质控。先说明依据，再提出条件或行动。</x:v>
      </x:c>
      <x:c r="G99" s="25" t="str">
        <x:v>学生已能独立选择知识或策略并提出具体行动</x:v>
      </x:c>
      <x:c r="H99" s="26" t="n">
        <x:v>2</x:v>
      </x:c>
    </x:row>
    <x:row r="100">
      <x:c r="A100" s="24" t="str">
        <x:v>SC-P7.07-1</x:v>
      </x:c>
      <x:c r="B100" s="25" t="str">
        <x:v>P7.07</x:v>
      </x:c>
      <x:c r="C100" s="25" t="str">
        <x:v>学生尚未识别当前局面或风险时</x:v>
      </x:c>
      <x:c r="D100" s="25" t="str">
        <x:v>一级</x:v>
      </x:c>
      <x:c r="E100" s="25" t="str">
        <x:v>识别线索</x:v>
      </x:c>
      <x:c r="F100" s="25" t="str">
        <x:v>留意：CE、FDA、REACH 或目的地实验室测试未被纳入交付周期规划。</x:v>
      </x:c>
      <x:c r="G100" s="25" t="str">
        <x:v>学生已能准确命名局面并说明其风险</x:v>
      </x:c>
      <x:c r="H100" s="26" t="n">
        <x:v>2</x:v>
      </x:c>
    </x:row>
    <x:row r="101">
      <x:c r="A101" s="24" t="str">
        <x:v>SC-P7.07-2</x:v>
      </x:c>
      <x:c r="B101" s="25" t="str">
        <x:v>P7.07</x:v>
      </x:c>
      <x:c r="C101" s="25" t="str">
        <x:v>学生已识别局面但缺少可执行行动时</x:v>
      </x:c>
      <x:c r="D101" s="25" t="str">
        <x:v>二级</x:v>
      </x:c>
      <x:c r="E101" s="25" t="str">
        <x:v>行动线索</x:v>
      </x:c>
      <x:c r="F101" s="25" t="str">
        <x:v>可从这些方向组织下一步：多国认证测试、检验机构选择、检验法规质控、包装环保法规、质保售后。先说明依据，再提出条件或行动。</x:v>
      </x:c>
      <x:c r="G101" s="25" t="str">
        <x:v>学生已能独立选择知识或策略并提出具体行动</x:v>
      </x:c>
      <x:c r="H101" s="26" t="n">
        <x:v>2</x:v>
      </x:c>
    </x:row>
    <x:row r="102">
      <x:c r="A102" s="24" t="str">
        <x:v>SC-P8.01-1</x:v>
      </x:c>
      <x:c r="B102" s="25" t="str">
        <x:v>P8.01</x:v>
      </x:c>
      <x:c r="C102" s="25" t="str">
        <x:v>学生尚未识别当前局面或风险时</x:v>
      </x:c>
      <x:c r="D102" s="25" t="str">
        <x:v>一级</x:v>
      </x:c>
      <x:c r="E102" s="25" t="str">
        <x:v>识别线索</x:v>
      </x:c>
      <x:c r="F102" s="25" t="str">
        <x:v>留意：FOB 买方忘记投保，或 CIF 卖方仅投最低险别而实际需要一切险。</x:v>
      </x:c>
      <x:c r="G102" s="25" t="str">
        <x:v>学生已能准确命名局面并说明其风险</x:v>
      </x:c>
      <x:c r="H102" s="26" t="n">
        <x:v>2</x:v>
      </x:c>
    </x:row>
    <x:row r="103">
      <x:c r="A103" s="24" t="str">
        <x:v>SC-P8.01-2</x:v>
      </x:c>
      <x:c r="B103" s="25" t="str">
        <x:v>P8.01</x:v>
      </x:c>
      <x:c r="C103" s="25" t="str">
        <x:v>学生已识别局面但缺少可执行行动时</x:v>
      </x:c>
      <x:c r="D103" s="25" t="str">
        <x:v>二级</x:v>
      </x:c>
      <x:c r="E103" s="25" t="str">
        <x:v>行动线索</x:v>
      </x:c>
      <x:c r="F103" s="25" t="str">
        <x:v>可从这些方向组织下一步：货运保险定义、险别范围选择、FOB 条件、CIF 条件、免赔额保险条款。先说明依据，再提出条件或行动。</x:v>
      </x:c>
      <x:c r="G103" s="25" t="str">
        <x:v>学生已能独立选择知识或策略并提出具体行动</x:v>
      </x:c>
      <x:c r="H103" s="26" t="n">
        <x:v>2</x:v>
      </x:c>
    </x:row>
    <x:row r="104">
      <x:c r="A104" s="24" t="str">
        <x:v>SC-P8.02-1</x:v>
      </x:c>
      <x:c r="B104" s="25" t="str">
        <x:v>P8.02</x:v>
      </x:c>
      <x:c r="C104" s="25" t="str">
        <x:v>学生尚未识别当前局面或风险时</x:v>
      </x:c>
      <x:c r="D104" s="25" t="str">
        <x:v>一级</x:v>
      </x:c>
      <x:c r="E104" s="25" t="str">
        <x:v>识别线索</x:v>
      </x:c>
      <x:c r="F104" s="25" t="str">
        <x:v>留意：通知、检验或文件逾期，或损失金额落在免赔额以内。</x:v>
      </x:c>
      <x:c r="G104" s="25" t="str">
        <x:v>学生已能准确命名局面并说明其风险</x:v>
      </x:c>
      <x:c r="H104" s="26" t="n">
        <x:v>2</x:v>
      </x:c>
    </x:row>
    <x:row r="105">
      <x:c r="A105" s="24" t="str">
        <x:v>SC-P8.02-2</x:v>
      </x:c>
      <x:c r="B105" s="25" t="str">
        <x:v>P8.02</x:v>
      </x:c>
      <x:c r="C105" s="25" t="str">
        <x:v>学生已识别局面但缺少可执行行动时</x:v>
      </x:c>
      <x:c r="D105" s="25" t="str">
        <x:v>二级</x:v>
      </x:c>
      <x:c r="E105" s="25" t="str">
        <x:v>行动线索</x:v>
      </x:c>
      <x:c r="F105" s="25" t="str">
        <x:v>可从这些方向组织下一步：投保索赔程序、免赔额保险条款、保额保费计算、证据链完整性、装运通知跟踪。先说明依据，再提出条件或行动。</x:v>
      </x:c>
      <x:c r="G105" s="25" t="str">
        <x:v>学生已能独立选择知识或策略并提出具体行动</x:v>
      </x:c>
      <x:c r="H105" s="26" t="n">
        <x:v>2</x:v>
      </x:c>
    </x:row>
    <x:row r="106">
      <x:c r="A106" s="24" t="str">
        <x:v>SC-P8.03-1</x:v>
      </x:c>
      <x:c r="B106" s="25" t="str">
        <x:v>P8.03</x:v>
      </x:c>
      <x:c r="C106" s="25" t="str">
        <x:v>学生尚未识别当前局面或风险时</x:v>
      </x:c>
      <x:c r="D106" s="25" t="str">
        <x:v>一级</x:v>
      </x:c>
      <x:c r="E106" s="25" t="str">
        <x:v>识别线索</x:v>
      </x:c>
      <x:c r="F106" s="25" t="str">
        <x:v>留意：合同未写明仲裁地、规则或机构，使管辖问题演变成第二场争议。</x:v>
      </x:c>
      <x:c r="G106" s="25" t="str">
        <x:v>学生已能准确命名局面并说明其风险</x:v>
      </x:c>
      <x:c r="H106" s="26" t="n">
        <x:v>2</x:v>
      </x:c>
    </x:row>
    <x:row r="107">
      <x:c r="A107" s="24" t="str">
        <x:v>SC-P8.03-2</x:v>
      </x:c>
      <x:c r="B107" s="25" t="str">
        <x:v>P8.03</x:v>
      </x:c>
      <x:c r="C107" s="25" t="str">
        <x:v>学生已识别局面但缺少可执行行动时</x:v>
      </x:c>
      <x:c r="D107" s="25" t="str">
        <x:v>二级</x:v>
      </x:c>
      <x:c r="E107" s="25" t="str">
        <x:v>行动线索</x:v>
      </x:c>
      <x:c r="F107" s="25" t="str">
        <x:v>可从这些方向组织下一步：仲裁条款起草、仲裁定义优势、合同成立条款、准据法管辖。先说明依据，再提出条件或行动。</x:v>
      </x:c>
      <x:c r="G107" s="25" t="str">
        <x:v>学生已能独立选择知识或策略并提出具体行动</x:v>
      </x:c>
      <x:c r="H107" s="26" t="n">
        <x:v>2</x:v>
      </x:c>
    </x:row>
    <x:row r="108">
      <x:c r="A108" s="24" t="str">
        <x:v>SC-P8.04-1</x:v>
      </x:c>
      <x:c r="B108" s="25" t="str">
        <x:v>P8.04</x:v>
      </x:c>
      <x:c r="C108" s="25" t="str">
        <x:v>学生尚未识别当前局面或风险时</x:v>
      </x:c>
      <x:c r="D108" s="25" t="str">
        <x:v>一级</x:v>
      </x:c>
      <x:c r="E108" s="25" t="str">
        <x:v>识别线索</x:v>
      </x:c>
      <x:c r="F108" s="25" t="str">
        <x:v>留意：仲裁地与《纽约公约》执行路径或对方资产所在地衔接不良。</x:v>
      </x:c>
      <x:c r="G108" s="25" t="str">
        <x:v>学生已能准确命名局面并说明其风险</x:v>
      </x:c>
      <x:c r="H108" s="26" t="n">
        <x:v>2</x:v>
      </x:c>
    </x:row>
    <x:row r="109">
      <x:c r="A109" s="24" t="str">
        <x:v>SC-P8.04-2</x:v>
      </x:c>
      <x:c r="B109" s="25" t="str">
        <x:v>P8.04</x:v>
      </x:c>
      <x:c r="C109" s="25" t="str">
        <x:v>学生已识别局面但缺少可执行行动时</x:v>
      </x:c>
      <x:c r="D109" s="25" t="str">
        <x:v>二级</x:v>
      </x:c>
      <x:c r="E109" s="25" t="str">
        <x:v>行动线索</x:v>
      </x:c>
      <x:c r="F109" s="25" t="str">
        <x:v>可从这些方向组织下一步：仲裁机构选择、仲裁程序执行、准据法管辖、仲裁条款起草。先说明依据，再提出条件或行动。</x:v>
      </x:c>
      <x:c r="G109" s="25" t="str">
        <x:v>学生已能独立选择知识或策略并提出具体行动</x:v>
      </x:c>
      <x:c r="H109" s="26" t="n">
        <x:v>2</x:v>
      </x:c>
    </x:row>
    <x:row r="110">
      <x:c r="A110" s="24" t="str">
        <x:v>SC-P8.05-1</x:v>
      </x:c>
      <x:c r="B110" s="25" t="str">
        <x:v>P8.05</x:v>
      </x:c>
      <x:c r="C110" s="25" t="str">
        <x:v>学生尚未识别当前局面或风险时</x:v>
      </x:c>
      <x:c r="D110" s="25" t="str">
        <x:v>一级</x:v>
      </x:c>
      <x:c r="E110" s="25" t="str">
        <x:v>识别线索</x:v>
      </x:c>
      <x:c r="F110" s="25" t="str">
        <x:v>留意：不同文化对法院和私人仲裁的偏好不同，谈判在争议解决条款上停滞。</x:v>
      </x:c>
      <x:c r="G110" s="25" t="str">
        <x:v>学生已能准确命名局面并说明其风险</x:v>
      </x:c>
      <x:c r="H110" s="26" t="n">
        <x:v>2</x:v>
      </x:c>
    </x:row>
    <x:row r="111">
      <x:c r="A111" s="24" t="str">
        <x:v>SC-P8.05-2</x:v>
      </x:c>
      <x:c r="B111" s="25" t="str">
        <x:v>P8.05</x:v>
      </x:c>
      <x:c r="C111" s="25" t="str">
        <x:v>学生已识别局面但缺少可执行行动时</x:v>
      </x:c>
      <x:c r="D111" s="25" t="str">
        <x:v>二级</x:v>
      </x:c>
      <x:c r="E111" s="25" t="str">
        <x:v>行动线索</x:v>
      </x:c>
      <x:c r="F111" s="25" t="str">
        <x:v>可从这些方向组织下一步：仲裁定义优势、保险仲裁跨文化、仲裁机构选择、根因分析调解。先说明依据，再提出条件或行动。</x:v>
      </x:c>
      <x:c r="G111" s="25" t="str">
        <x:v>学生已能独立选择知识或策略并提出具体行动</x:v>
      </x:c>
      <x:c r="H111" s="26" t="n">
        <x:v>2</x:v>
      </x:c>
    </x:row>
    <x:row r="112">
      <x:c r="A112" s="24" t="str">
        <x:v>SC-P8.06-1</x:v>
      </x:c>
      <x:c r="B112" s="25" t="str">
        <x:v>P8.06</x:v>
      </x:c>
      <x:c r="C112" s="25" t="str">
        <x:v>学生尚未识别当前局面或风险时</x:v>
      </x:c>
      <x:c r="D112" s="25" t="str">
        <x:v>一级</x:v>
      </x:c>
      <x:c r="E112" s="25" t="str">
        <x:v>识别线索</x:v>
      </x:c>
      <x:c r="F112" s="25" t="str">
        <x:v>留意：一方把应由保险覆盖的运输损失误作不可抗力，或反向混淆。</x:v>
      </x:c>
      <x:c r="G112" s="25" t="str">
        <x:v>学生已能准确命名局面并说明其风险</x:v>
      </x:c>
      <x:c r="H112" s="26" t="n">
        <x:v>2</x:v>
      </x:c>
    </x:row>
    <x:row r="113">
      <x:c r="A113" s="24" t="str">
        <x:v>SC-P8.06-2</x:v>
      </x:c>
      <x:c r="B113" s="25" t="str">
        <x:v>P8.06</x:v>
      </x:c>
      <x:c r="C113" s="25" t="str">
        <x:v>学生已识别局面但缺少可执行行动时</x:v>
      </x:c>
      <x:c r="D113" s="25" t="str">
        <x:v>二级</x:v>
      </x:c>
      <x:c r="E113" s="25" t="str">
        <x:v>行动线索</x:v>
      </x:c>
      <x:c r="F113" s="25" t="str">
        <x:v>可从这些方向组织下一步：不可抗力规则、货运保险定义、合同免责条款、迟延交付违约。先说明依据，再提出条件或行动。</x:v>
      </x:c>
      <x:c r="G113" s="25" t="str">
        <x:v>学生已能独立选择知识或策略并提出具体行动</x:v>
      </x:c>
      <x:c r="H113" s="26" t="n">
        <x:v>2</x:v>
      </x:c>
    </x:row>
    <x:row r="114">
      <x:c r="A114" s="24" t="str">
        <x:v>SC-P8.07-1</x:v>
      </x:c>
      <x:c r="B114" s="25" t="str">
        <x:v>P8.07</x:v>
      </x:c>
      <x:c r="C114" s="25" t="str">
        <x:v>学生尚未识别当前局面或风险时</x:v>
      </x:c>
      <x:c r="D114" s="25" t="str">
        <x:v>一级</x:v>
      </x:c>
      <x:c r="E114" s="25" t="str">
        <x:v>识别线索</x:v>
      </x:c>
      <x:c r="F114" s="25" t="str">
        <x:v>留意：仲裁庭、翻译和证据披露的成本甚至超过争议金额。</x:v>
      </x:c>
      <x:c r="G114" s="25" t="str">
        <x:v>学生已能准确命名局面并说明其风险</x:v>
      </x:c>
      <x:c r="H114" s="26" t="n">
        <x:v>2</x:v>
      </x:c>
    </x:row>
    <x:row r="115">
      <x:c r="A115" s="24" t="str">
        <x:v>SC-P8.07-2</x:v>
      </x:c>
      <x:c r="B115" s="25" t="str">
        <x:v>P8.07</x:v>
      </x:c>
      <x:c r="C115" s="25" t="str">
        <x:v>学生已识别局面但缺少可执行行动时</x:v>
      </x:c>
      <x:c r="D115" s="25" t="str">
        <x:v>二级</x:v>
      </x:c>
      <x:c r="E115" s="25" t="str">
        <x:v>行动线索</x:v>
      </x:c>
      <x:c r="F115" s="25" t="str">
        <x:v>可从这些方向组织下一步：仲裁程序执行、仲裁机构选择、索赔和解策略、根因分析调解。先说明依据，再提出条件或行动。</x:v>
      </x:c>
      <x:c r="G115" s="25" t="str">
        <x:v>学生已能独立选择知识或策略并提出具体行动</x:v>
      </x:c>
      <x:c r="H115" s="26" t="n">
        <x:v>2</x:v>
      </x:c>
    </x:row>
    <x:row r="116">
      <x:c r="A116" s="24" t="str">
        <x:v>SC-P9.01-1</x:v>
      </x:c>
      <x:c r="B116" s="25" t="str">
        <x:v>P9.01</x:v>
      </x:c>
      <x:c r="C116" s="25" t="str">
        <x:v>学生尚未识别当前局面或风险时</x:v>
      </x:c>
      <x:c r="D116" s="25" t="str">
        <x:v>一级</x:v>
      </x:c>
      <x:c r="E116" s="25" t="str">
        <x:v>识别线索</x:v>
      </x:c>
      <x:c r="F116" s="25" t="str">
        <x:v>留意：买方在卸货后主张短重、损坏或规格不符。</x:v>
      </x:c>
      <x:c r="G116" s="25" t="str">
        <x:v>学生已能准确命名局面并说明其风险</x:v>
      </x:c>
      <x:c r="H116" s="26" t="n">
        <x:v>2</x:v>
      </x:c>
    </x:row>
    <x:row r="117">
      <x:c r="A117" s="24" t="str">
        <x:v>SC-P9.01-2</x:v>
      </x:c>
      <x:c r="B117" s="25" t="str">
        <x:v>P9.01</x:v>
      </x:c>
      <x:c r="C117" s="25" t="str">
        <x:v>学生已识别局面但缺少可执行行动时</x:v>
      </x:c>
      <x:c r="D117" s="25" t="str">
        <x:v>二级</x:v>
      </x:c>
      <x:c r="E117" s="25" t="str">
        <x:v>行动线索</x:v>
      </x:c>
      <x:c r="F117" s="25" t="str">
        <x:v>可从这些方向组织下一步：商品检验定义、投诉定义分类、投诉处理流程、索赔程序、证据链完整性。先说明依据，再提出条件或行动。</x:v>
      </x:c>
      <x:c r="G117" s="25" t="str">
        <x:v>学生已能独立选择知识或策略并提出具体行动</x:v>
      </x:c>
      <x:c r="H117" s="26" t="n">
        <x:v>2</x:v>
      </x:c>
    </x:row>
    <x:row r="118">
      <x:c r="A118" s="24" t="str">
        <x:v>SC-P9.02-1</x:v>
      </x:c>
      <x:c r="B118" s="25" t="str">
        <x:v>P9.02</x:v>
      </x:c>
      <x:c r="C118" s="25" t="str">
        <x:v>学生尚未识别当前局面或风险时</x:v>
      </x:c>
      <x:c r="D118" s="25" t="str">
        <x:v>一级</x:v>
      </x:c>
      <x:c r="E118" s="25" t="str">
        <x:v>识别线索</x:v>
      </x:c>
      <x:c r="F118" s="25" t="str">
        <x:v>留意：事实尚未查清，服务问题已经公开化、个人化或在网络扩散。</x:v>
      </x:c>
      <x:c r="G118" s="25" t="str">
        <x:v>学生已能准确命名局面并说明其风险</x:v>
      </x:c>
      <x:c r="H118" s="26" t="n">
        <x:v>2</x:v>
      </x:c>
    </x:row>
    <x:row r="119">
      <x:c r="A119" s="24" t="str">
        <x:v>SC-P9.02-2</x:v>
      </x:c>
      <x:c r="B119" s="25" t="str">
        <x:v>P9.02</x:v>
      </x:c>
      <x:c r="C119" s="25" t="str">
        <x:v>学生已识别局面但缺少可执行行动时</x:v>
      </x:c>
      <x:c r="D119" s="25" t="str">
        <x:v>二级</x:v>
      </x:c>
      <x:c r="E119" s="25" t="str">
        <x:v>行动线索</x:v>
      </x:c>
      <x:c r="F119" s="25" t="str">
        <x:v>可从这些方向组织下一步：投诉沟通倾听、服务补救、投诉声誉风控、投诉跨文化差异。先说明依据，再提出条件或行动。</x:v>
      </x:c>
      <x:c r="G119" s="25" t="str">
        <x:v>学生已能独立选择知识或策略并提出具体行动</x:v>
      </x:c>
      <x:c r="H119" s="26" t="n">
        <x:v>2</x:v>
      </x:c>
    </x:row>
    <x:row r="120">
      <x:c r="A120" s="24" t="str">
        <x:v>SC-P9.03-1</x:v>
      </x:c>
      <x:c r="B120" s="25" t="str">
        <x:v>P9.03</x:v>
      </x:c>
      <x:c r="C120" s="25" t="str">
        <x:v>学生尚未识别当前局面或风险时</x:v>
      </x:c>
      <x:c r="D120" s="25" t="str">
        <x:v>一级</x:v>
      </x:c>
      <x:c r="E120" s="25" t="str">
        <x:v>识别线索</x:v>
      </x:c>
      <x:c r="F120" s="25" t="str">
        <x:v>留意：通知或诉讼超过合同、《海牙—维斯比规则》或当地法律规定的期限。</x:v>
      </x:c>
      <x:c r="G120" s="25" t="str">
        <x:v>学生已能准确命名局面并说明其风险</x:v>
      </x:c>
      <x:c r="H120" s="26" t="n">
        <x:v>2</x:v>
      </x:c>
    </x:row>
    <x:row r="121">
      <x:c r="A121" s="24" t="str">
        <x:v>SC-P9.03-2</x:v>
      </x:c>
      <x:c r="B121" s="25" t="str">
        <x:v>P9.03</x:v>
      </x:c>
      <x:c r="C121" s="25" t="str">
        <x:v>学生已识别局面但缺少可执行行动时</x:v>
      </x:c>
      <x:c r="D121" s="25" t="str">
        <x:v>二级</x:v>
      </x:c>
      <x:c r="E121" s="25" t="str">
        <x:v>行动线索</x:v>
      </x:c>
      <x:c r="F121" s="25" t="str">
        <x:v>可从这些方向组织下一步：索赔诉讼时效、索赔程序、索赔定义、仲裁程序执行。先说明依据，再提出条件或行动。</x:v>
      </x:c>
      <x:c r="G121" s="25" t="str">
        <x:v>学生已能独立选择知识或策略并提出具体行动</x:v>
      </x:c>
      <x:c r="H121" s="26" t="n">
        <x:v>2</x:v>
      </x:c>
    </x:row>
    <x:row r="122">
      <x:c r="A122" s="24" t="str">
        <x:v>SC-P9.04-1</x:v>
      </x:c>
      <x:c r="B122" s="25" t="str">
        <x:v>P9.04</x:v>
      </x:c>
      <x:c r="C122" s="25" t="str">
        <x:v>学生尚未识别当前局面或风险时</x:v>
      </x:c>
      <x:c r="D122" s="25" t="str">
        <x:v>一级</x:v>
      </x:c>
      <x:c r="E122" s="25" t="str">
        <x:v>识别线索</x:v>
      </x:c>
      <x:c r="F122" s="25" t="str">
        <x:v>留意：照片、检验报告、封志或温度记录缺失、被修改或无法相互印证。</x:v>
      </x:c>
      <x:c r="G122" s="25" t="str">
        <x:v>学生已能准确命名局面并说明其风险</x:v>
      </x:c>
      <x:c r="H122" s="26" t="n">
        <x:v>2</x:v>
      </x:c>
    </x:row>
    <x:row r="123">
      <x:c r="A123" s="24" t="str">
        <x:v>SC-P9.04-2</x:v>
      </x:c>
      <x:c r="B123" s="25" t="str">
        <x:v>P9.04</x:v>
      </x:c>
      <x:c r="C123" s="25" t="str">
        <x:v>学生已识别局面但缺少可执行行动时</x:v>
      </x:c>
      <x:c r="D123" s="25" t="str">
        <x:v>二级</x:v>
      </x:c>
      <x:c r="E123" s="25" t="str">
        <x:v>行动线索</x:v>
      </x:c>
      <x:c r="F123" s="25" t="str">
        <x:v>可从这些方向组织下一步：证据链完整性、检验证书单据、装运通知跟踪、投保索赔程序、索赔程序。先说明依据，再提出条件或行动。</x:v>
      </x:c>
      <x:c r="G123" s="25" t="str">
        <x:v>学生已能独立选择知识或策略并提出具体行动</x:v>
      </x:c>
      <x:c r="H123" s="26" t="n">
        <x:v>2</x:v>
      </x:c>
    </x:row>
    <x:row r="124">
      <x:c r="A124" s="24" t="str">
        <x:v>SC-P9.05-1</x:v>
      </x:c>
      <x:c r="B124" s="25" t="str">
        <x:v>P9.05</x:v>
      </x:c>
      <x:c r="C124" s="25" t="str">
        <x:v>学生尚未识别当前局面或风险时</x:v>
      </x:c>
      <x:c r="D124" s="25" t="str">
        <x:v>一级</x:v>
      </x:c>
      <x:c r="E124" s="25" t="str">
        <x:v>识别线索</x:v>
      </x:c>
      <x:c r="F124" s="25" t="str">
        <x:v>留意：把成本上涨、一般迟延或可预见事件包装成不可抗力。</x:v>
      </x:c>
      <x:c r="G124" s="25" t="str">
        <x:v>学生已能准确命名局面并说明其风险</x:v>
      </x:c>
      <x:c r="H124" s="26" t="n">
        <x:v>2</x:v>
      </x:c>
    </x:row>
    <x:row r="125">
      <x:c r="A125" s="24" t="str">
        <x:v>SC-P9.05-2</x:v>
      </x:c>
      <x:c r="B125" s="25" t="str">
        <x:v>P9.05</x:v>
      </x:c>
      <x:c r="C125" s="25" t="str">
        <x:v>学生已识别局面但缺少可执行行动时</x:v>
      </x:c>
      <x:c r="D125" s="25" t="str">
        <x:v>二级</x:v>
      </x:c>
      <x:c r="E125" s="25" t="str">
        <x:v>行动线索</x:v>
      </x:c>
      <x:c r="F125" s="25" t="str">
        <x:v>可从这些方向组织下一步：不可抗力规则、合同免责条款、迟延交付违约、投诉声誉风控。先说明依据，再提出条件或行动。</x:v>
      </x:c>
      <x:c r="G125" s="25" t="str">
        <x:v>学生已能独立选择知识或策略并提出具体行动</x:v>
      </x:c>
      <x:c r="H125" s="26" t="n">
        <x:v>2</x:v>
      </x:c>
    </x:row>
    <x:row r="126">
      <x:c r="A126" s="24" t="str">
        <x:v>SC-P9.06-1</x:v>
      </x:c>
      <x:c r="B126" s="25" t="str">
        <x:v>P9.06</x:v>
      </x:c>
      <x:c r="C126" s="25" t="str">
        <x:v>学生尚未识别当前局面或风险时</x:v>
      </x:c>
      <x:c r="D126" s="25" t="str">
        <x:v>一级</x:v>
      </x:c>
      <x:c r="E126" s="25" t="str">
        <x:v>识别线索</x:v>
      </x:c>
      <x:c r="F126" s="25" t="str">
        <x:v>留意：双方原则上承认责任，却无法就金额、利息或币种达成一致。</x:v>
      </x:c>
      <x:c r="G126" s="25" t="str">
        <x:v>学生已能准确命名局面并说明其风险</x:v>
      </x:c>
      <x:c r="H126" s="26" t="n">
        <x:v>2</x:v>
      </x:c>
    </x:row>
    <x:row r="127">
      <x:c r="A127" s="24" t="str">
        <x:v>SC-P9.06-2</x:v>
      </x:c>
      <x:c r="B127" s="25" t="str">
        <x:v>P9.06</x:v>
      </x:c>
      <x:c r="C127" s="25" t="str">
        <x:v>学生已识别局面但缺少可执行行动时</x:v>
      </x:c>
      <x:c r="D127" s="25" t="str">
        <x:v>二级</x:v>
      </x:c>
      <x:c r="E127" s="25" t="str">
        <x:v>行动线索</x:v>
      </x:c>
      <x:c r="F127" s="25" t="str">
        <x:v>可从这些方向组织下一步：赔偿金额计算、索赔和解策略、根因分析调解、互惠让步、服务补救。先说明依据，再提出条件或行动。</x:v>
      </x:c>
      <x:c r="G127" s="25" t="str">
        <x:v>学生已能独立选择知识或策略并提出具体行动</x:v>
      </x:c>
      <x:c r="H127" s="26" t="n">
        <x:v>2</x:v>
      </x:c>
    </x:row>
    <x:row r="128">
      <x:c r="A128" s="24" t="str">
        <x:v>SC-P9.07-1</x:v>
      </x:c>
      <x:c r="B128" s="25" t="str">
        <x:v>P9.07</x:v>
      </x:c>
      <x:c r="C128" s="25" t="str">
        <x:v>学生尚未识别当前局面或风险时</x:v>
      </x:c>
      <x:c r="D128" s="25" t="str">
        <x:v>一级</x:v>
      </x:c>
      <x:c r="E128" s="25" t="str">
        <x:v>识别线索</x:v>
      </x:c>
      <x:c r="F128" s="25" t="str">
        <x:v>留意：运输损失本应向承运人或保险人主张，却错误地向卖方索赔。</x:v>
      </x:c>
      <x:c r="G128" s="25" t="str">
        <x:v>学生已能准确命名局面并说明其风险</x:v>
      </x:c>
      <x:c r="H128" s="26" t="n">
        <x:v>2</x:v>
      </x:c>
    </x:row>
    <x:row r="129">
      <x:c r="A129" s="24" t="str">
        <x:v>SC-P9.07-2</x:v>
      </x:c>
      <x:c r="B129" s="25" t="str">
        <x:v>P9.07</x:v>
      </x:c>
      <x:c r="C129" s="25" t="str">
        <x:v>学生已识别局面但缺少可执行行动时</x:v>
      </x:c>
      <x:c r="D129" s="25" t="str">
        <x:v>二级</x:v>
      </x:c>
      <x:c r="E129" s="25" t="str">
        <x:v>行动线索</x:v>
      </x:c>
      <x:c r="F129" s="25" t="str">
        <x:v>可从这些方向组织下一步：承运人责任、装运风险管理、交付验收标准、货运保险定义、FOB 条件。先说明依据，再提出条件或行动。</x:v>
      </x:c>
      <x:c r="G129" s="25" t="str">
        <x:v>学生已能独立选择知识或策略并提出具体行动</x:v>
      </x:c>
      <x:c r="H129" s="26" t="n">
        <x:v>2</x:v>
      </x:c>
    </x:row>
    <x:row r="130">
      <x:c r="A130" s="24" t="str">
        <x:v>SC-P9.08-1</x:v>
      </x:c>
      <x:c r="B130" s="25" t="str">
        <x:v>P9.08</x:v>
      </x:c>
      <x:c r="C130" s="25" t="str">
        <x:v>学生尚未识别当前局面或风险时</x:v>
      </x:c>
      <x:c r="D130" s="25" t="str">
        <x:v>一级</x:v>
      </x:c>
      <x:c r="E130" s="25" t="str">
        <x:v>识别线索</x:v>
      </x:c>
      <x:c r="F130" s="25" t="str">
        <x:v>留意：直接承认、拖延回应或公开道歉被错误地套用到不合适的文化语境。</x:v>
      </x:c>
      <x:c r="G130" s="25" t="str">
        <x:v>学生已能准确命名局面并说明其风险</x:v>
      </x:c>
      <x:c r="H130" s="26" t="n">
        <x:v>2</x:v>
      </x:c>
    </x:row>
    <x:row r="131">
      <x:c r="A131" s="24" t="str">
        <x:v>SC-P9.08-2</x:v>
      </x:c>
      <x:c r="B131" s="25" t="str">
        <x:v>P9.08</x:v>
      </x:c>
      <x:c r="C131" s="25" t="str">
        <x:v>学生已识别局面但缺少可执行行动时</x:v>
      </x:c>
      <x:c r="D131" s="25" t="str">
        <x:v>二级</x:v>
      </x:c>
      <x:c r="E131" s="25" t="str">
        <x:v>行动线索</x:v>
      </x:c>
      <x:c r="F131" s="25" t="str">
        <x:v>可从这些方向组织下一步：投诉跨文化差异、索赔和解跨文化、投诉沟通倾听、保全面子策略。先说明依据，再提出条件或行动。</x:v>
      </x:c>
      <x:c r="G131" s="25" t="str">
        <x:v>学生已能独立选择知识或策略并提出具体行动</x:v>
      </x:c>
      <x:c r="H131" s="26" t="n">
        <x:v>2</x:v>
      </x:c>
    </x:row>
    <x:row r="132">
      <x:c r="A132" s="24" t="str">
        <x:v>SC-P9.09-1</x:v>
      </x:c>
      <x:c r="B132" s="25" t="str">
        <x:v>P9.09</x:v>
      </x:c>
      <x:c r="C132" s="25" t="str">
        <x:v>学生尚未识别当前局面或风险时</x:v>
      </x:c>
      <x:c r="D132" s="25" t="str">
        <x:v>一级</x:v>
      </x:c>
      <x:c r="E132" s="25" t="str">
        <x:v>识别线索</x:v>
      </x:c>
      <x:c r="F132" s="25" t="str">
        <x:v>留意：每次个案都被暂时安抚，造成问题的流程缺陷却始终没有关闭。</x:v>
      </x:c>
      <x:c r="G132" s="25" t="str">
        <x:v>学生已能准确命名局面并说明其风险</x:v>
      </x:c>
      <x:c r="H132" s="26" t="n">
        <x:v>2</x:v>
      </x:c>
    </x:row>
    <x:row r="133">
      <x:c r="A133" s="27" t="str">
        <x:v>SC-P9.09-2</x:v>
      </x:c>
      <x:c r="B133" s="28" t="str">
        <x:v>P9.09</x:v>
      </x:c>
      <x:c r="C133" s="28" t="str">
        <x:v>学生已识别局面但缺少可执行行动时</x:v>
      </x:c>
      <x:c r="D133" s="28" t="str">
        <x:v>二级</x:v>
      </x:c>
      <x:c r="E133" s="28" t="str">
        <x:v>行动线索</x:v>
      </x:c>
      <x:c r="F133" s="28" t="str">
        <x:v>可从这些方向组织下一步：根因分析调解、投诉记录闭环、客户满意评估、质保售后、投诉处理流程。先说明依据，再提出条件或行动。</x:v>
      </x:c>
      <x:c r="G133" s="28" t="str">
        <x:v>学生已能独立选择知识或策略并提出具体行动</x:v>
      </x:c>
      <x:c r="H133" s="2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a76a4d6d62c41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4" hidden="0" customWidth="1"/>
    <x:col min="4" max="4" width="12" hidden="0" customWidth="1"/>
    <x:col min="5" max="5" width="42" hidden="0" customWidth="1"/>
    <x:col min="6" max="6" width="40" hidden="0" customWidth="1"/>
    <x:col min="7" max="7" width="40" hidden="0" customWidth="1"/>
    <x:col min="8" max="8" width="40" hidden="0" customWidth="1"/>
    <x:col min="9" max="9" width="16" hidden="0" customWidth="1"/>
    <x:col min="10" max="10" width="12" hidden="0" customWidth="1"/>
  </x:cols>
  <x:sheetData>
    <x:row r="1" ht="30" customHeight="1">
      <x:c r="A1" s="21" t="str">
        <x:v>RubricID</x:v>
      </x:c>
      <x:c r="B1" s="22" t="str">
        <x:v>ScenarioID</x:v>
      </x:c>
      <x:c r="C1" s="22" t="str">
        <x:v>DimensionName</x:v>
      </x:c>
      <x:c r="D1" s="22" t="str">
        <x:v>WeightPercent</x:v>
      </x:c>
      <x:c r="E1" s="22" t="str">
        <x:v>Focus</x:v>
      </x:c>
      <x:c r="F1" s="22" t="str">
        <x:v>BelowStandard</x:v>
      </x:c>
      <x:c r="G1" s="22" t="str">
        <x:v>MeetsStandard</x:v>
      </x:c>
      <x:c r="H1" s="22" t="str">
        <x:v>Excellent</x:v>
      </x:c>
      <x:c r="I1" s="22" t="str">
        <x:v>EvidenceRequired</x:v>
      </x:c>
      <x:c r="J1" s="23" t="str">
        <x:v>PerRound</x:v>
      </x:c>
    </x:row>
    <x:row r="2">
      <x:c r="A2" s="24" t="str">
        <x:v>RB001</x:v>
      </x:c>
      <x:c r="B2" s="25" t="str">
        <x:v>S01</x:v>
      </x:c>
      <x:c r="C2" s="25" t="str">
        <x:v>局面识别与专业判断</x:v>
      </x:c>
      <x:c r="D2" s="25" t="n">
        <x:v>35</x:v>
      </x:c>
      <x:c r="E2" s="25" t="str">
        <x:v>是否识别两个关键局面、引用相关条件并解释业务后果。</x:v>
      </x:c>
      <x:c r="F2" s="25" t="str">
        <x:v>忽略核心信号，判断与情境或规则冲突。</x:v>
      </x:c>
      <x:c r="G2" s="25" t="str">
        <x:v>能识别主要问题并给出基本理由。</x:v>
      </x:c>
      <x:c r="H2" s="25" t="str">
        <x:v>准确区分边界、风险与优先级，并用于后续决策。</x:v>
      </x:c>
      <x:c r="I2" s="25" t="str">
        <x:v>学生对关键术语、条件、风险和责任的真实表述。</x:v>
      </x:c>
      <x:c r="J2" s="26" t="str">
        <x:v>是</x:v>
      </x:c>
    </x:row>
    <x:row r="3">
      <x:c r="A3" s="24" t="str">
        <x:v>RB002</x:v>
      </x:c>
      <x:c r="B3" s="25" t="str">
        <x:v>S01</x:v>
      </x:c>
      <x:c r="C3" s="25" t="str">
        <x:v>策略选择与行动可执行性</x:v>
      </x:c>
      <x:c r="D3" s="25" t="n">
        <x:v>40</x:v>
      </x:c>
      <x:c r="E3" s="25" t="str">
        <x:v>是否在适用条件下选择策略，并提出对象、条件、期限或交换回报清楚的行动。</x:v>
      </x:c>
      <x:c r="F3" s="25" t="str">
        <x:v>只有立场或情绪，没有可执行下一步。</x:v>
      </x:c>
      <x:c r="G3" s="25" t="str">
        <x:v>提出基本可行行动，但条件或后果不够完整。</x:v>
      </x:c>
      <x:c r="H3" s="25" t="str">
        <x:v>策略与局面高度匹配，能管理交换、证据或流程并推动对方回应。</x:v>
      </x:c>
      <x:c r="I3" s="25" t="str">
        <x:v>学生提出的请求、方案、条件交换或单证修改。</x:v>
      </x:c>
      <x:c r="J3" s="26" t="str">
        <x:v>是</x:v>
      </x:c>
    </x:row>
    <x:row r="4">
      <x:c r="A4" s="24" t="str">
        <x:v>RB003</x:v>
      </x:c>
      <x:c r="B4" s="25" t="str">
        <x:v>S01</x:v>
      </x:c>
      <x:c r="C4" s="25" t="str">
        <x:v>商务表达与风险控制</x:v>
      </x:c>
      <x:c r="D4" s="25" t="n">
        <x:v>25</x:v>
      </x:c>
      <x:c r="E4" s="25" t="str">
        <x:v>是否专业、清楚、克制地表达，并保护底牌、证据和合同边界。</x:v>
      </x:c>
      <x:c r="F4" s="25" t="str">
        <x:v>措辞失礼、含糊或作出未经授权的承诺。</x:v>
      </x:c>
      <x:c r="G4" s="25" t="str">
        <x:v>语气基本专业，主要信息完整。</x:v>
      </x:c>
      <x:c r="H4" s="25" t="str">
        <x:v>表达精确且维护关系，主动防范误解、越权和履约风险。</x:v>
      </x:c>
      <x:c r="I4" s="25" t="str">
        <x:v>学生的关键措辞、信息披露和条件限定。</x:v>
      </x:c>
      <x:c r="J4" s="26" t="str">
        <x:v>是</x:v>
      </x:c>
    </x:row>
    <x:row r="5">
      <x:c r="A5" s="24" t="str">
        <x:v>RB004</x:v>
      </x:c>
      <x:c r="B5" s="25" t="str">
        <x:v>S02</x:v>
      </x:c>
      <x:c r="C5" s="25" t="str">
        <x:v>局面识别与专业判断</x:v>
      </x:c>
      <x:c r="D5" s="25" t="n">
        <x:v>35</x:v>
      </x:c>
      <x:c r="E5" s="25" t="str">
        <x:v>是否识别两个关键局面、引用相关条件并解释业务后果。</x:v>
      </x:c>
      <x:c r="F5" s="25" t="str">
        <x:v>忽略核心信号，判断与情境或规则冲突。</x:v>
      </x:c>
      <x:c r="G5" s="25" t="str">
        <x:v>能识别主要问题并给出基本理由。</x:v>
      </x:c>
      <x:c r="H5" s="25" t="str">
        <x:v>准确区分边界、风险与优先级，并用于后续决策。</x:v>
      </x:c>
      <x:c r="I5" s="25" t="str">
        <x:v>学生对关键术语、条件、风险和责任的真实表述。</x:v>
      </x:c>
      <x:c r="J5" s="26" t="str">
        <x:v>是</x:v>
      </x:c>
    </x:row>
    <x:row r="6">
      <x:c r="A6" s="24" t="str">
        <x:v>RB005</x:v>
      </x:c>
      <x:c r="B6" s="25" t="str">
        <x:v>S02</x:v>
      </x:c>
      <x:c r="C6" s="25" t="str">
        <x:v>策略选择与行动可执行性</x:v>
      </x:c>
      <x:c r="D6" s="25" t="n">
        <x:v>40</x:v>
      </x:c>
      <x:c r="E6" s="25" t="str">
        <x:v>是否在适用条件下选择策略，并提出对象、条件、期限或交换回报清楚的行动。</x:v>
      </x:c>
      <x:c r="F6" s="25" t="str">
        <x:v>只有立场或情绪，没有可执行下一步。</x:v>
      </x:c>
      <x:c r="G6" s="25" t="str">
        <x:v>提出基本可行行动，但条件或后果不够完整。</x:v>
      </x:c>
      <x:c r="H6" s="25" t="str">
        <x:v>策略与局面高度匹配，能管理交换、证据或流程并推动对方回应。</x:v>
      </x:c>
      <x:c r="I6" s="25" t="str">
        <x:v>学生提出的请求、方案、条件交换或单证修改。</x:v>
      </x:c>
      <x:c r="J6" s="26" t="str">
        <x:v>是</x:v>
      </x:c>
    </x:row>
    <x:row r="7">
      <x:c r="A7" s="24" t="str">
        <x:v>RB006</x:v>
      </x:c>
      <x:c r="B7" s="25" t="str">
        <x:v>S02</x:v>
      </x:c>
      <x:c r="C7" s="25" t="str">
        <x:v>商务表达与风险控制</x:v>
      </x:c>
      <x:c r="D7" s="25" t="n">
        <x:v>25</x:v>
      </x:c>
      <x:c r="E7" s="25" t="str">
        <x:v>是否专业、清楚、克制地表达，并保护底牌、证据和合同边界。</x:v>
      </x:c>
      <x:c r="F7" s="25" t="str">
        <x:v>措辞失礼、含糊或作出未经授权的承诺。</x:v>
      </x:c>
      <x:c r="G7" s="25" t="str">
        <x:v>语气基本专业，主要信息完整。</x:v>
      </x:c>
      <x:c r="H7" s="25" t="str">
        <x:v>表达精确且维护关系，主动防范误解、越权和履约风险。</x:v>
      </x:c>
      <x:c r="I7" s="25" t="str">
        <x:v>学生的关键措辞、信息披露和条件限定。</x:v>
      </x:c>
      <x:c r="J7" s="26" t="str">
        <x:v>是</x:v>
      </x:c>
    </x:row>
    <x:row r="8">
      <x:c r="A8" s="24" t="str">
        <x:v>RB007</x:v>
      </x:c>
      <x:c r="B8" s="25" t="str">
        <x:v>S03</x:v>
      </x:c>
      <x:c r="C8" s="25" t="str">
        <x:v>局面识别与专业判断</x:v>
      </x:c>
      <x:c r="D8" s="25" t="n">
        <x:v>35</x:v>
      </x:c>
      <x:c r="E8" s="25" t="str">
        <x:v>是否识别两个关键局面、引用相关条件并解释业务后果。</x:v>
      </x:c>
      <x:c r="F8" s="25" t="str">
        <x:v>忽略核心信号，判断与情境或规则冲突。</x:v>
      </x:c>
      <x:c r="G8" s="25" t="str">
        <x:v>能识别主要问题并给出基本理由。</x:v>
      </x:c>
      <x:c r="H8" s="25" t="str">
        <x:v>准确区分边界、风险与优先级，并用于后续决策。</x:v>
      </x:c>
      <x:c r="I8" s="25" t="str">
        <x:v>学生对关键术语、条件、风险和责任的真实表述。</x:v>
      </x:c>
      <x:c r="J8" s="26" t="str">
        <x:v>是</x:v>
      </x:c>
    </x:row>
    <x:row r="9">
      <x:c r="A9" s="24" t="str">
        <x:v>RB008</x:v>
      </x:c>
      <x:c r="B9" s="25" t="str">
        <x:v>S03</x:v>
      </x:c>
      <x:c r="C9" s="25" t="str">
        <x:v>策略选择与行动可执行性</x:v>
      </x:c>
      <x:c r="D9" s="25" t="n">
        <x:v>40</x:v>
      </x:c>
      <x:c r="E9" s="25" t="str">
        <x:v>是否在适用条件下选择策略，并提出对象、条件、期限或交换回报清楚的行动。</x:v>
      </x:c>
      <x:c r="F9" s="25" t="str">
        <x:v>只有立场或情绪，没有可执行下一步。</x:v>
      </x:c>
      <x:c r="G9" s="25" t="str">
        <x:v>提出基本可行行动，但条件或后果不够完整。</x:v>
      </x:c>
      <x:c r="H9" s="25" t="str">
        <x:v>策略与局面高度匹配，能管理交换、证据或流程并推动对方回应。</x:v>
      </x:c>
      <x:c r="I9" s="25" t="str">
        <x:v>学生提出的请求、方案、条件交换或单证修改。</x:v>
      </x:c>
      <x:c r="J9" s="26" t="str">
        <x:v>是</x:v>
      </x:c>
    </x:row>
    <x:row r="10">
      <x:c r="A10" s="24" t="str">
        <x:v>RB009</x:v>
      </x:c>
      <x:c r="B10" s="25" t="str">
        <x:v>S03</x:v>
      </x:c>
      <x:c r="C10" s="25" t="str">
        <x:v>商务表达与风险控制</x:v>
      </x:c>
      <x:c r="D10" s="25" t="n">
        <x:v>25</x:v>
      </x:c>
      <x:c r="E10" s="25" t="str">
        <x:v>是否专业、清楚、克制地表达，并保护底牌、证据和合同边界。</x:v>
      </x:c>
      <x:c r="F10" s="25" t="str">
        <x:v>措辞失礼、含糊或作出未经授权的承诺。</x:v>
      </x:c>
      <x:c r="G10" s="25" t="str">
        <x:v>语气基本专业，主要信息完整。</x:v>
      </x:c>
      <x:c r="H10" s="25" t="str">
        <x:v>表达精确且维护关系，主动防范误解、越权和履约风险。</x:v>
      </x:c>
      <x:c r="I10" s="25" t="str">
        <x:v>学生的关键措辞、信息披露和条件限定。</x:v>
      </x:c>
      <x:c r="J10" s="26" t="str">
        <x:v>是</x:v>
      </x:c>
    </x:row>
    <x:row r="11">
      <x:c r="A11" s="24" t="str">
        <x:v>RB010</x:v>
      </x:c>
      <x:c r="B11" s="25" t="str">
        <x:v>S04</x:v>
      </x:c>
      <x:c r="C11" s="25" t="str">
        <x:v>局面识别与专业判断</x:v>
      </x:c>
      <x:c r="D11" s="25" t="n">
        <x:v>35</x:v>
      </x:c>
      <x:c r="E11" s="25" t="str">
        <x:v>是否识别两个关键局面、引用相关条件并解释业务后果。</x:v>
      </x:c>
      <x:c r="F11" s="25" t="str">
        <x:v>忽略核心信号，判断与情境或规则冲突。</x:v>
      </x:c>
      <x:c r="G11" s="25" t="str">
        <x:v>能识别主要问题并给出基本理由。</x:v>
      </x:c>
      <x:c r="H11" s="25" t="str">
        <x:v>准确区分边界、风险与优先级，并用于后续决策。</x:v>
      </x:c>
      <x:c r="I11" s="25" t="str">
        <x:v>学生对关键术语、条件、风险和责任的真实表述。</x:v>
      </x:c>
      <x:c r="J11" s="26" t="str">
        <x:v>是</x:v>
      </x:c>
    </x:row>
    <x:row r="12">
      <x:c r="A12" s="24" t="str">
        <x:v>RB011</x:v>
      </x:c>
      <x:c r="B12" s="25" t="str">
        <x:v>S04</x:v>
      </x:c>
      <x:c r="C12" s="25" t="str">
        <x:v>策略选择与行动可执行性</x:v>
      </x:c>
      <x:c r="D12" s="25" t="n">
        <x:v>40</x:v>
      </x:c>
      <x:c r="E12" s="25" t="str">
        <x:v>是否在适用条件下选择策略，并提出对象、条件、期限或交换回报清楚的行动。</x:v>
      </x:c>
      <x:c r="F12" s="25" t="str">
        <x:v>只有立场或情绪，没有可执行下一步。</x:v>
      </x:c>
      <x:c r="G12" s="25" t="str">
        <x:v>提出基本可行行动，但条件或后果不够完整。</x:v>
      </x:c>
      <x:c r="H12" s="25" t="str">
        <x:v>策略与局面高度匹配，能管理交换、证据或流程并推动对方回应。</x:v>
      </x:c>
      <x:c r="I12" s="25" t="str">
        <x:v>学生提出的请求、方案、条件交换或单证修改。</x:v>
      </x:c>
      <x:c r="J12" s="26" t="str">
        <x:v>是</x:v>
      </x:c>
    </x:row>
    <x:row r="13">
      <x:c r="A13" s="24" t="str">
        <x:v>RB012</x:v>
      </x:c>
      <x:c r="B13" s="25" t="str">
        <x:v>S04</x:v>
      </x:c>
      <x:c r="C13" s="25" t="str">
        <x:v>商务表达与风险控制</x:v>
      </x:c>
      <x:c r="D13" s="25" t="n">
        <x:v>25</x:v>
      </x:c>
      <x:c r="E13" s="25" t="str">
        <x:v>是否专业、清楚、克制地表达，并保护底牌、证据和合同边界。</x:v>
      </x:c>
      <x:c r="F13" s="25" t="str">
        <x:v>措辞失礼、含糊或作出未经授权的承诺。</x:v>
      </x:c>
      <x:c r="G13" s="25" t="str">
        <x:v>语气基本专业，主要信息完整。</x:v>
      </x:c>
      <x:c r="H13" s="25" t="str">
        <x:v>表达精确且维护关系，主动防范误解、越权和履约风险。</x:v>
      </x:c>
      <x:c r="I13" s="25" t="str">
        <x:v>学生的关键措辞、信息披露和条件限定。</x:v>
      </x:c>
      <x:c r="J13" s="26" t="str">
        <x:v>是</x:v>
      </x:c>
    </x:row>
    <x:row r="14">
      <x:c r="A14" s="24" t="str">
        <x:v>RB013</x:v>
      </x:c>
      <x:c r="B14" s="25" t="str">
        <x:v>S05</x:v>
      </x:c>
      <x:c r="C14" s="25" t="str">
        <x:v>局面识别与专业判断</x:v>
      </x:c>
      <x:c r="D14" s="25" t="n">
        <x:v>35</x:v>
      </x:c>
      <x:c r="E14" s="25" t="str">
        <x:v>是否识别两个关键局面、引用相关条件并解释业务后果。</x:v>
      </x:c>
      <x:c r="F14" s="25" t="str">
        <x:v>忽略核心信号，判断与情境或规则冲突。</x:v>
      </x:c>
      <x:c r="G14" s="25" t="str">
        <x:v>能识别主要问题并给出基本理由。</x:v>
      </x:c>
      <x:c r="H14" s="25" t="str">
        <x:v>准确区分边界、风险与优先级，并用于后续决策。</x:v>
      </x:c>
      <x:c r="I14" s="25" t="str">
        <x:v>学生对关键术语、条件、风险和责任的真实表述。</x:v>
      </x:c>
      <x:c r="J14" s="26" t="str">
        <x:v>是</x:v>
      </x:c>
    </x:row>
    <x:row r="15">
      <x:c r="A15" s="24" t="str">
        <x:v>RB014</x:v>
      </x:c>
      <x:c r="B15" s="25" t="str">
        <x:v>S05</x:v>
      </x:c>
      <x:c r="C15" s="25" t="str">
        <x:v>策略选择与行动可执行性</x:v>
      </x:c>
      <x:c r="D15" s="25" t="n">
        <x:v>40</x:v>
      </x:c>
      <x:c r="E15" s="25" t="str">
        <x:v>是否在适用条件下选择策略，并提出对象、条件、期限或交换回报清楚的行动。</x:v>
      </x:c>
      <x:c r="F15" s="25" t="str">
        <x:v>只有立场或情绪，没有可执行下一步。</x:v>
      </x:c>
      <x:c r="G15" s="25" t="str">
        <x:v>提出基本可行行动，但条件或后果不够完整。</x:v>
      </x:c>
      <x:c r="H15" s="25" t="str">
        <x:v>策略与局面高度匹配，能管理交换、证据或流程并推动对方回应。</x:v>
      </x:c>
      <x:c r="I15" s="25" t="str">
        <x:v>学生提出的请求、方案、条件交换或单证修改。</x:v>
      </x:c>
      <x:c r="J15" s="26" t="str">
        <x:v>是</x:v>
      </x:c>
    </x:row>
    <x:row r="16">
      <x:c r="A16" s="24" t="str">
        <x:v>RB015</x:v>
      </x:c>
      <x:c r="B16" s="25" t="str">
        <x:v>S05</x:v>
      </x:c>
      <x:c r="C16" s="25" t="str">
        <x:v>商务表达与风险控制</x:v>
      </x:c>
      <x:c r="D16" s="25" t="n">
        <x:v>25</x:v>
      </x:c>
      <x:c r="E16" s="25" t="str">
        <x:v>是否专业、清楚、克制地表达，并保护底牌、证据和合同边界。</x:v>
      </x:c>
      <x:c r="F16" s="25" t="str">
        <x:v>措辞失礼、含糊或作出未经授权的承诺。</x:v>
      </x:c>
      <x:c r="G16" s="25" t="str">
        <x:v>语气基本专业，主要信息完整。</x:v>
      </x:c>
      <x:c r="H16" s="25" t="str">
        <x:v>表达精确且维护关系，主动防范误解、越权和履约风险。</x:v>
      </x:c>
      <x:c r="I16" s="25" t="str">
        <x:v>学生的关键措辞、信息披露和条件限定。</x:v>
      </x:c>
      <x:c r="J16" s="26" t="str">
        <x:v>是</x:v>
      </x:c>
    </x:row>
    <x:row r="17">
      <x:c r="A17" s="24" t="str">
        <x:v>RB016</x:v>
      </x:c>
      <x:c r="B17" s="25" t="str">
        <x:v>S06</x:v>
      </x:c>
      <x:c r="C17" s="25" t="str">
        <x:v>局面识别与专业判断</x:v>
      </x:c>
      <x:c r="D17" s="25" t="n">
        <x:v>35</x:v>
      </x:c>
      <x:c r="E17" s="25" t="str">
        <x:v>是否识别两个关键局面、引用相关条件并解释业务后果。</x:v>
      </x:c>
      <x:c r="F17" s="25" t="str">
        <x:v>忽略核心信号，判断与情境或规则冲突。</x:v>
      </x:c>
      <x:c r="G17" s="25" t="str">
        <x:v>能识别主要问题并给出基本理由。</x:v>
      </x:c>
      <x:c r="H17" s="25" t="str">
        <x:v>准确区分边界、风险与优先级，并用于后续决策。</x:v>
      </x:c>
      <x:c r="I17" s="25" t="str">
        <x:v>学生对关键术语、条件、风险和责任的真实表述。</x:v>
      </x:c>
      <x:c r="J17" s="26" t="str">
        <x:v>是</x:v>
      </x:c>
    </x:row>
    <x:row r="18">
      <x:c r="A18" s="24" t="str">
        <x:v>RB017</x:v>
      </x:c>
      <x:c r="B18" s="25" t="str">
        <x:v>S06</x:v>
      </x:c>
      <x:c r="C18" s="25" t="str">
        <x:v>策略选择与行动可执行性</x:v>
      </x:c>
      <x:c r="D18" s="25" t="n">
        <x:v>40</x:v>
      </x:c>
      <x:c r="E18" s="25" t="str">
        <x:v>是否在适用条件下选择策略，并提出对象、条件、期限或交换回报清楚的行动。</x:v>
      </x:c>
      <x:c r="F18" s="25" t="str">
        <x:v>只有立场或情绪，没有可执行下一步。</x:v>
      </x:c>
      <x:c r="G18" s="25" t="str">
        <x:v>提出基本可行行动，但条件或后果不够完整。</x:v>
      </x:c>
      <x:c r="H18" s="25" t="str">
        <x:v>策略与局面高度匹配，能管理交换、证据或流程并推动对方回应。</x:v>
      </x:c>
      <x:c r="I18" s="25" t="str">
        <x:v>学生提出的请求、方案、条件交换或单证修改。</x:v>
      </x:c>
      <x:c r="J18" s="26" t="str">
        <x:v>是</x:v>
      </x:c>
    </x:row>
    <x:row r="19">
      <x:c r="A19" s="24" t="str">
        <x:v>RB018</x:v>
      </x:c>
      <x:c r="B19" s="25" t="str">
        <x:v>S06</x:v>
      </x:c>
      <x:c r="C19" s="25" t="str">
        <x:v>商务表达与风险控制</x:v>
      </x:c>
      <x:c r="D19" s="25" t="n">
        <x:v>25</x:v>
      </x:c>
      <x:c r="E19" s="25" t="str">
        <x:v>是否专业、清楚、克制地表达，并保护底牌、证据和合同边界。</x:v>
      </x:c>
      <x:c r="F19" s="25" t="str">
        <x:v>措辞失礼、含糊或作出未经授权的承诺。</x:v>
      </x:c>
      <x:c r="G19" s="25" t="str">
        <x:v>语气基本专业，主要信息完整。</x:v>
      </x:c>
      <x:c r="H19" s="25" t="str">
        <x:v>表达精确且维护关系，主动防范误解、越权和履约风险。</x:v>
      </x:c>
      <x:c r="I19" s="25" t="str">
        <x:v>学生的关键措辞、信息披露和条件限定。</x:v>
      </x:c>
      <x:c r="J19" s="26" t="str">
        <x:v>是</x:v>
      </x:c>
    </x:row>
    <x:row r="20">
      <x:c r="A20" s="24" t="str">
        <x:v>RB019</x:v>
      </x:c>
      <x:c r="B20" s="25" t="str">
        <x:v>S07</x:v>
      </x:c>
      <x:c r="C20" s="25" t="str">
        <x:v>局面识别与专业判断</x:v>
      </x:c>
      <x:c r="D20" s="25" t="n">
        <x:v>35</x:v>
      </x:c>
      <x:c r="E20" s="25" t="str">
        <x:v>是否识别两个关键局面、引用相关条件并解释业务后果。</x:v>
      </x:c>
      <x:c r="F20" s="25" t="str">
        <x:v>忽略核心信号，判断与情境或规则冲突。</x:v>
      </x:c>
      <x:c r="G20" s="25" t="str">
        <x:v>能识别主要问题并给出基本理由。</x:v>
      </x:c>
      <x:c r="H20" s="25" t="str">
        <x:v>准确区分边界、风险与优先级，并用于后续决策。</x:v>
      </x:c>
      <x:c r="I20" s="25" t="str">
        <x:v>学生对关键术语、条件、风险和责任的真实表述。</x:v>
      </x:c>
      <x:c r="J20" s="26" t="str">
        <x:v>是</x:v>
      </x:c>
    </x:row>
    <x:row r="21">
      <x:c r="A21" s="24" t="str">
        <x:v>RB020</x:v>
      </x:c>
      <x:c r="B21" s="25" t="str">
        <x:v>S07</x:v>
      </x:c>
      <x:c r="C21" s="25" t="str">
        <x:v>策略选择与行动可执行性</x:v>
      </x:c>
      <x:c r="D21" s="25" t="n">
        <x:v>40</x:v>
      </x:c>
      <x:c r="E21" s="25" t="str">
        <x:v>是否在适用条件下选择策略，并提出对象、条件、期限或交换回报清楚的行动。</x:v>
      </x:c>
      <x:c r="F21" s="25" t="str">
        <x:v>只有立场或情绪，没有可执行下一步。</x:v>
      </x:c>
      <x:c r="G21" s="25" t="str">
        <x:v>提出基本可行行动，但条件或后果不够完整。</x:v>
      </x:c>
      <x:c r="H21" s="25" t="str">
        <x:v>策略与局面高度匹配，能管理交换、证据或流程并推动对方回应。</x:v>
      </x:c>
      <x:c r="I21" s="25" t="str">
        <x:v>学生提出的请求、方案、条件交换或单证修改。</x:v>
      </x:c>
      <x:c r="J21" s="26" t="str">
        <x:v>是</x:v>
      </x:c>
    </x:row>
    <x:row r="22">
      <x:c r="A22" s="24" t="str">
        <x:v>RB021</x:v>
      </x:c>
      <x:c r="B22" s="25" t="str">
        <x:v>S07</x:v>
      </x:c>
      <x:c r="C22" s="25" t="str">
        <x:v>商务表达与风险控制</x:v>
      </x:c>
      <x:c r="D22" s="25" t="n">
        <x:v>25</x:v>
      </x:c>
      <x:c r="E22" s="25" t="str">
        <x:v>是否专业、清楚、克制地表达，并保护底牌、证据和合同边界。</x:v>
      </x:c>
      <x:c r="F22" s="25" t="str">
        <x:v>措辞失礼、含糊或作出未经授权的承诺。</x:v>
      </x:c>
      <x:c r="G22" s="25" t="str">
        <x:v>语气基本专业，主要信息完整。</x:v>
      </x:c>
      <x:c r="H22" s="25" t="str">
        <x:v>表达精确且维护关系，主动防范误解、越权和履约风险。</x:v>
      </x:c>
      <x:c r="I22" s="25" t="str">
        <x:v>学生的关键措辞、信息披露和条件限定。</x:v>
      </x:c>
      <x:c r="J22" s="26" t="str">
        <x:v>是</x:v>
      </x:c>
    </x:row>
    <x:row r="23">
      <x:c r="A23" s="24" t="str">
        <x:v>RB022</x:v>
      </x:c>
      <x:c r="B23" s="25" t="str">
        <x:v>S08</x:v>
      </x:c>
      <x:c r="C23" s="25" t="str">
        <x:v>局面识别与专业判断</x:v>
      </x:c>
      <x:c r="D23" s="25" t="n">
        <x:v>35</x:v>
      </x:c>
      <x:c r="E23" s="25" t="str">
        <x:v>是否识别两个关键局面、引用相关条件并解释业务后果。</x:v>
      </x:c>
      <x:c r="F23" s="25" t="str">
        <x:v>忽略核心信号，判断与情境或规则冲突。</x:v>
      </x:c>
      <x:c r="G23" s="25" t="str">
        <x:v>能识别主要问题并给出基本理由。</x:v>
      </x:c>
      <x:c r="H23" s="25" t="str">
        <x:v>准确区分边界、风险与优先级，并用于后续决策。</x:v>
      </x:c>
      <x:c r="I23" s="25" t="str">
        <x:v>学生对关键术语、条件、风险和责任的真实表述。</x:v>
      </x:c>
      <x:c r="J23" s="26" t="str">
        <x:v>是</x:v>
      </x:c>
    </x:row>
    <x:row r="24">
      <x:c r="A24" s="24" t="str">
        <x:v>RB023</x:v>
      </x:c>
      <x:c r="B24" s="25" t="str">
        <x:v>S08</x:v>
      </x:c>
      <x:c r="C24" s="25" t="str">
        <x:v>策略选择与行动可执行性</x:v>
      </x:c>
      <x:c r="D24" s="25" t="n">
        <x:v>40</x:v>
      </x:c>
      <x:c r="E24" s="25" t="str">
        <x:v>是否在适用条件下选择策略，并提出对象、条件、期限或交换回报清楚的行动。</x:v>
      </x:c>
      <x:c r="F24" s="25" t="str">
        <x:v>只有立场或情绪，没有可执行下一步。</x:v>
      </x:c>
      <x:c r="G24" s="25" t="str">
        <x:v>提出基本可行行动，但条件或后果不够完整。</x:v>
      </x:c>
      <x:c r="H24" s="25" t="str">
        <x:v>策略与局面高度匹配，能管理交换、证据或流程并推动对方回应。</x:v>
      </x:c>
      <x:c r="I24" s="25" t="str">
        <x:v>学生提出的请求、方案、条件交换或单证修改。</x:v>
      </x:c>
      <x:c r="J24" s="26" t="str">
        <x:v>是</x:v>
      </x:c>
    </x:row>
    <x:row r="25">
      <x:c r="A25" s="24" t="str">
        <x:v>RB024</x:v>
      </x:c>
      <x:c r="B25" s="25" t="str">
        <x:v>S08</x:v>
      </x:c>
      <x:c r="C25" s="25" t="str">
        <x:v>商务表达与风险控制</x:v>
      </x:c>
      <x:c r="D25" s="25" t="n">
        <x:v>25</x:v>
      </x:c>
      <x:c r="E25" s="25" t="str">
        <x:v>是否专业、清楚、克制地表达，并保护底牌、证据和合同边界。</x:v>
      </x:c>
      <x:c r="F25" s="25" t="str">
        <x:v>措辞失礼、含糊或作出未经授权的承诺。</x:v>
      </x:c>
      <x:c r="G25" s="25" t="str">
        <x:v>语气基本专业，主要信息完整。</x:v>
      </x:c>
      <x:c r="H25" s="25" t="str">
        <x:v>表达精确且维护关系，主动防范误解、越权和履约风险。</x:v>
      </x:c>
      <x:c r="I25" s="25" t="str">
        <x:v>学生的关键措辞、信息披露和条件限定。</x:v>
      </x:c>
      <x:c r="J25" s="26" t="str">
        <x:v>是</x:v>
      </x:c>
    </x:row>
    <x:row r="26">
      <x:c r="A26" s="24" t="str">
        <x:v>RB025</x:v>
      </x:c>
      <x:c r="B26" s="25" t="str">
        <x:v>S09</x:v>
      </x:c>
      <x:c r="C26" s="25" t="str">
        <x:v>局面识别与专业判断</x:v>
      </x:c>
      <x:c r="D26" s="25" t="n">
        <x:v>35</x:v>
      </x:c>
      <x:c r="E26" s="25" t="str">
        <x:v>是否识别两个关键局面、引用相关条件并解释业务后果。</x:v>
      </x:c>
      <x:c r="F26" s="25" t="str">
        <x:v>忽略核心信号，判断与情境或规则冲突。</x:v>
      </x:c>
      <x:c r="G26" s="25" t="str">
        <x:v>能识别主要问题并给出基本理由。</x:v>
      </x:c>
      <x:c r="H26" s="25" t="str">
        <x:v>准确区分边界、风险与优先级，并用于后续决策。</x:v>
      </x:c>
      <x:c r="I26" s="25" t="str">
        <x:v>学生对关键术语、条件、风险和责任的真实表述。</x:v>
      </x:c>
      <x:c r="J26" s="26" t="str">
        <x:v>是</x:v>
      </x:c>
    </x:row>
    <x:row r="27">
      <x:c r="A27" s="24" t="str">
        <x:v>RB026</x:v>
      </x:c>
      <x:c r="B27" s="25" t="str">
        <x:v>S09</x:v>
      </x:c>
      <x:c r="C27" s="25" t="str">
        <x:v>策略选择与行动可执行性</x:v>
      </x:c>
      <x:c r="D27" s="25" t="n">
        <x:v>40</x:v>
      </x:c>
      <x:c r="E27" s="25" t="str">
        <x:v>是否在适用条件下选择策略，并提出对象、条件、期限或交换回报清楚的行动。</x:v>
      </x:c>
      <x:c r="F27" s="25" t="str">
        <x:v>只有立场或情绪，没有可执行下一步。</x:v>
      </x:c>
      <x:c r="G27" s="25" t="str">
        <x:v>提出基本可行行动，但条件或后果不够完整。</x:v>
      </x:c>
      <x:c r="H27" s="25" t="str">
        <x:v>策略与局面高度匹配，能管理交换、证据或流程并推动对方回应。</x:v>
      </x:c>
      <x:c r="I27" s="25" t="str">
        <x:v>学生提出的请求、方案、条件交换或单证修改。</x:v>
      </x:c>
      <x:c r="J27" s="26" t="str">
        <x:v>是</x:v>
      </x:c>
    </x:row>
    <x:row r="28">
      <x:c r="A28" s="24" t="str">
        <x:v>RB027</x:v>
      </x:c>
      <x:c r="B28" s="25" t="str">
        <x:v>S09</x:v>
      </x:c>
      <x:c r="C28" s="25" t="str">
        <x:v>商务表达与风险控制</x:v>
      </x:c>
      <x:c r="D28" s="25" t="n">
        <x:v>25</x:v>
      </x:c>
      <x:c r="E28" s="25" t="str">
        <x:v>是否专业、清楚、克制地表达，并保护底牌、证据和合同边界。</x:v>
      </x:c>
      <x:c r="F28" s="25" t="str">
        <x:v>措辞失礼、含糊或作出未经授权的承诺。</x:v>
      </x:c>
      <x:c r="G28" s="25" t="str">
        <x:v>语气基本专业，主要信息完整。</x:v>
      </x:c>
      <x:c r="H28" s="25" t="str">
        <x:v>表达精确且维护关系，主动防范误解、越权和履约风险。</x:v>
      </x:c>
      <x:c r="I28" s="25" t="str">
        <x:v>学生的关键措辞、信息披露和条件限定。</x:v>
      </x:c>
      <x:c r="J28" s="26" t="str">
        <x:v>是</x:v>
      </x:c>
    </x:row>
    <x:row r="29">
      <x:c r="A29" s="24" t="str">
        <x:v>RB028</x:v>
      </x:c>
      <x:c r="B29" s="25" t="str">
        <x:v>S10</x:v>
      </x:c>
      <x:c r="C29" s="25" t="str">
        <x:v>局面识别与专业判断</x:v>
      </x:c>
      <x:c r="D29" s="25" t="n">
        <x:v>35</x:v>
      </x:c>
      <x:c r="E29" s="25" t="str">
        <x:v>是否识别两个关键局面、引用相关条件并解释业务后果。</x:v>
      </x:c>
      <x:c r="F29" s="25" t="str">
        <x:v>忽略核心信号，判断与情境或规则冲突。</x:v>
      </x:c>
      <x:c r="G29" s="25" t="str">
        <x:v>能识别主要问题并给出基本理由。</x:v>
      </x:c>
      <x:c r="H29" s="25" t="str">
        <x:v>准确区分边界、风险与优先级，并用于后续决策。</x:v>
      </x:c>
      <x:c r="I29" s="25" t="str">
        <x:v>学生对关键术语、条件、风险和责任的真实表述。</x:v>
      </x:c>
      <x:c r="J29" s="26" t="str">
        <x:v>是</x:v>
      </x:c>
    </x:row>
    <x:row r="30">
      <x:c r="A30" s="24" t="str">
        <x:v>RB029</x:v>
      </x:c>
      <x:c r="B30" s="25" t="str">
        <x:v>S10</x:v>
      </x:c>
      <x:c r="C30" s="25" t="str">
        <x:v>策略选择与行动可执行性</x:v>
      </x:c>
      <x:c r="D30" s="25" t="n">
        <x:v>40</x:v>
      </x:c>
      <x:c r="E30" s="25" t="str">
        <x:v>是否在适用条件下选择策略，并提出对象、条件、期限或交换回报清楚的行动。</x:v>
      </x:c>
      <x:c r="F30" s="25" t="str">
        <x:v>只有立场或情绪，没有可执行下一步。</x:v>
      </x:c>
      <x:c r="G30" s="25" t="str">
        <x:v>提出基本可行行动，但条件或后果不够完整。</x:v>
      </x:c>
      <x:c r="H30" s="25" t="str">
        <x:v>策略与局面高度匹配，能管理交换、证据或流程并推动对方回应。</x:v>
      </x:c>
      <x:c r="I30" s="25" t="str">
        <x:v>学生提出的请求、方案、条件交换或单证修改。</x:v>
      </x:c>
      <x:c r="J30" s="26" t="str">
        <x:v>是</x:v>
      </x:c>
    </x:row>
    <x:row r="31">
      <x:c r="A31" s="24" t="str">
        <x:v>RB030</x:v>
      </x:c>
      <x:c r="B31" s="25" t="str">
        <x:v>S10</x:v>
      </x:c>
      <x:c r="C31" s="25" t="str">
        <x:v>商务表达与风险控制</x:v>
      </x:c>
      <x:c r="D31" s="25" t="n">
        <x:v>25</x:v>
      </x:c>
      <x:c r="E31" s="25" t="str">
        <x:v>是否专业、清楚、克制地表达，并保护底牌、证据和合同边界。</x:v>
      </x:c>
      <x:c r="F31" s="25" t="str">
        <x:v>措辞失礼、含糊或作出未经授权的承诺。</x:v>
      </x:c>
      <x:c r="G31" s="25" t="str">
        <x:v>语气基本专业，主要信息完整。</x:v>
      </x:c>
      <x:c r="H31" s="25" t="str">
        <x:v>表达精确且维护关系，主动防范误解、越权和履约风险。</x:v>
      </x:c>
      <x:c r="I31" s="25" t="str">
        <x:v>学生的关键措辞、信息披露和条件限定。</x:v>
      </x:c>
      <x:c r="J31" s="26" t="str">
        <x:v>是</x:v>
      </x:c>
    </x:row>
    <x:row r="32">
      <x:c r="A32" s="24" t="str">
        <x:v>RB031</x:v>
      </x:c>
      <x:c r="B32" s="25" t="str">
        <x:v>S11</x:v>
      </x:c>
      <x:c r="C32" s="25" t="str">
        <x:v>局面识别与专业判断</x:v>
      </x:c>
      <x:c r="D32" s="25" t="n">
        <x:v>35</x:v>
      </x:c>
      <x:c r="E32" s="25" t="str">
        <x:v>是否识别两个关键局面、引用相关条件并解释业务后果。</x:v>
      </x:c>
      <x:c r="F32" s="25" t="str">
        <x:v>忽略核心信号，判断与情境或规则冲突。</x:v>
      </x:c>
      <x:c r="G32" s="25" t="str">
        <x:v>能识别主要问题并给出基本理由。</x:v>
      </x:c>
      <x:c r="H32" s="25" t="str">
        <x:v>准确区分边界、风险与优先级，并用于后续决策。</x:v>
      </x:c>
      <x:c r="I32" s="25" t="str">
        <x:v>学生对关键术语、条件、风险和责任的真实表述。</x:v>
      </x:c>
      <x:c r="J32" s="26" t="str">
        <x:v>是</x:v>
      </x:c>
    </x:row>
    <x:row r="33">
      <x:c r="A33" s="24" t="str">
        <x:v>RB032</x:v>
      </x:c>
      <x:c r="B33" s="25" t="str">
        <x:v>S11</x:v>
      </x:c>
      <x:c r="C33" s="25" t="str">
        <x:v>策略选择与行动可执行性</x:v>
      </x:c>
      <x:c r="D33" s="25" t="n">
        <x:v>40</x:v>
      </x:c>
      <x:c r="E33" s="25" t="str">
        <x:v>是否在适用条件下选择策略，并提出对象、条件、期限或交换回报清楚的行动。</x:v>
      </x:c>
      <x:c r="F33" s="25" t="str">
        <x:v>只有立场或情绪，没有可执行下一步。</x:v>
      </x:c>
      <x:c r="G33" s="25" t="str">
        <x:v>提出基本可行行动，但条件或后果不够完整。</x:v>
      </x:c>
      <x:c r="H33" s="25" t="str">
        <x:v>策略与局面高度匹配，能管理交换、证据或流程并推动对方回应。</x:v>
      </x:c>
      <x:c r="I33" s="25" t="str">
        <x:v>学生提出的请求、方案、条件交换或单证修改。</x:v>
      </x:c>
      <x:c r="J33" s="26" t="str">
        <x:v>是</x:v>
      </x:c>
    </x:row>
    <x:row r="34">
      <x:c r="A34" s="24" t="str">
        <x:v>RB033</x:v>
      </x:c>
      <x:c r="B34" s="25" t="str">
        <x:v>S11</x:v>
      </x:c>
      <x:c r="C34" s="25" t="str">
        <x:v>商务表达与风险控制</x:v>
      </x:c>
      <x:c r="D34" s="25" t="n">
        <x:v>25</x:v>
      </x:c>
      <x:c r="E34" s="25" t="str">
        <x:v>是否专业、清楚、克制地表达，并保护底牌、证据和合同边界。</x:v>
      </x:c>
      <x:c r="F34" s="25" t="str">
        <x:v>措辞失礼、含糊或作出未经授权的承诺。</x:v>
      </x:c>
      <x:c r="G34" s="25" t="str">
        <x:v>语气基本专业，主要信息完整。</x:v>
      </x:c>
      <x:c r="H34" s="25" t="str">
        <x:v>表达精确且维护关系，主动防范误解、越权和履约风险。</x:v>
      </x:c>
      <x:c r="I34" s="25" t="str">
        <x:v>学生的关键措辞、信息披露和条件限定。</x:v>
      </x:c>
      <x:c r="J34" s="26" t="str">
        <x:v>是</x:v>
      </x:c>
    </x:row>
    <x:row r="35">
      <x:c r="A35" s="24" t="str">
        <x:v>RB034</x:v>
      </x:c>
      <x:c r="B35" s="25" t="str">
        <x:v>S12</x:v>
      </x:c>
      <x:c r="C35" s="25" t="str">
        <x:v>局面识别与专业判断</x:v>
      </x:c>
      <x:c r="D35" s="25" t="n">
        <x:v>35</x:v>
      </x:c>
      <x:c r="E35" s="25" t="str">
        <x:v>是否识别两个关键局面、引用相关条件并解释业务后果。</x:v>
      </x:c>
      <x:c r="F35" s="25" t="str">
        <x:v>忽略核心信号，判断与情境或规则冲突。</x:v>
      </x:c>
      <x:c r="G35" s="25" t="str">
        <x:v>能识别主要问题并给出基本理由。</x:v>
      </x:c>
      <x:c r="H35" s="25" t="str">
        <x:v>准确区分边界、风险与优先级，并用于后续决策。</x:v>
      </x:c>
      <x:c r="I35" s="25" t="str">
        <x:v>学生对关键术语、条件、风险和责任的真实表述。</x:v>
      </x:c>
      <x:c r="J35" s="26" t="str">
        <x:v>是</x:v>
      </x:c>
    </x:row>
    <x:row r="36">
      <x:c r="A36" s="24" t="str">
        <x:v>RB035</x:v>
      </x:c>
      <x:c r="B36" s="25" t="str">
        <x:v>S12</x:v>
      </x:c>
      <x:c r="C36" s="25" t="str">
        <x:v>策略选择与行动可执行性</x:v>
      </x:c>
      <x:c r="D36" s="25" t="n">
        <x:v>40</x:v>
      </x:c>
      <x:c r="E36" s="25" t="str">
        <x:v>是否在适用条件下选择策略，并提出对象、条件、期限或交换回报清楚的行动。</x:v>
      </x:c>
      <x:c r="F36" s="25" t="str">
        <x:v>只有立场或情绪，没有可执行下一步。</x:v>
      </x:c>
      <x:c r="G36" s="25" t="str">
        <x:v>提出基本可行行动，但条件或后果不够完整。</x:v>
      </x:c>
      <x:c r="H36" s="25" t="str">
        <x:v>策略与局面高度匹配，能管理交换、证据或流程并推动对方回应。</x:v>
      </x:c>
      <x:c r="I36" s="25" t="str">
        <x:v>学生提出的请求、方案、条件交换或单证修改。</x:v>
      </x:c>
      <x:c r="J36" s="26" t="str">
        <x:v>是</x:v>
      </x:c>
    </x:row>
    <x:row r="37">
      <x:c r="A37" s="24" t="str">
        <x:v>RB036</x:v>
      </x:c>
      <x:c r="B37" s="25" t="str">
        <x:v>S12</x:v>
      </x:c>
      <x:c r="C37" s="25" t="str">
        <x:v>商务表达与风险控制</x:v>
      </x:c>
      <x:c r="D37" s="25" t="n">
        <x:v>25</x:v>
      </x:c>
      <x:c r="E37" s="25" t="str">
        <x:v>是否专业、清楚、克制地表达，并保护底牌、证据和合同边界。</x:v>
      </x:c>
      <x:c r="F37" s="25" t="str">
        <x:v>措辞失礼、含糊或作出未经授权的承诺。</x:v>
      </x:c>
      <x:c r="G37" s="25" t="str">
        <x:v>语气基本专业，主要信息完整。</x:v>
      </x:c>
      <x:c r="H37" s="25" t="str">
        <x:v>表达精确且维护关系，主动防范误解、越权和履约风险。</x:v>
      </x:c>
      <x:c r="I37" s="25" t="str">
        <x:v>学生的关键措辞、信息披露和条件限定。</x:v>
      </x:c>
      <x:c r="J37" s="26" t="str">
        <x:v>是</x:v>
      </x:c>
    </x:row>
    <x:row r="38">
      <x:c r="A38" s="24" t="str">
        <x:v>RB037</x:v>
      </x:c>
      <x:c r="B38" s="25" t="str">
        <x:v>S13</x:v>
      </x:c>
      <x:c r="C38" s="25" t="str">
        <x:v>局面识别与专业判断</x:v>
      </x:c>
      <x:c r="D38" s="25" t="n">
        <x:v>35</x:v>
      </x:c>
      <x:c r="E38" s="25" t="str">
        <x:v>是否识别两个关键局面、引用相关条件并解释业务后果。</x:v>
      </x:c>
      <x:c r="F38" s="25" t="str">
        <x:v>忽略核心信号，判断与情境或规则冲突。</x:v>
      </x:c>
      <x:c r="G38" s="25" t="str">
        <x:v>能识别主要问题并给出基本理由。</x:v>
      </x:c>
      <x:c r="H38" s="25" t="str">
        <x:v>准确区分边界、风险与优先级，并用于后续决策。</x:v>
      </x:c>
      <x:c r="I38" s="25" t="str">
        <x:v>学生对关键术语、条件、风险和责任的真实表述。</x:v>
      </x:c>
      <x:c r="J38" s="26" t="str">
        <x:v>是</x:v>
      </x:c>
    </x:row>
    <x:row r="39">
      <x:c r="A39" s="24" t="str">
        <x:v>RB038</x:v>
      </x:c>
      <x:c r="B39" s="25" t="str">
        <x:v>S13</x:v>
      </x:c>
      <x:c r="C39" s="25" t="str">
        <x:v>策略选择与行动可执行性</x:v>
      </x:c>
      <x:c r="D39" s="25" t="n">
        <x:v>40</x:v>
      </x:c>
      <x:c r="E39" s="25" t="str">
        <x:v>是否在适用条件下选择策略，并提出对象、条件、期限或交换回报清楚的行动。</x:v>
      </x:c>
      <x:c r="F39" s="25" t="str">
        <x:v>只有立场或情绪，没有可执行下一步。</x:v>
      </x:c>
      <x:c r="G39" s="25" t="str">
        <x:v>提出基本可行行动，但条件或后果不够完整。</x:v>
      </x:c>
      <x:c r="H39" s="25" t="str">
        <x:v>策略与局面高度匹配，能管理交换、证据或流程并推动对方回应。</x:v>
      </x:c>
      <x:c r="I39" s="25" t="str">
        <x:v>学生提出的请求、方案、条件交换或单证修改。</x:v>
      </x:c>
      <x:c r="J39" s="26" t="str">
        <x:v>是</x:v>
      </x:c>
    </x:row>
    <x:row r="40">
      <x:c r="A40" s="24" t="str">
        <x:v>RB039</x:v>
      </x:c>
      <x:c r="B40" s="25" t="str">
        <x:v>S13</x:v>
      </x:c>
      <x:c r="C40" s="25" t="str">
        <x:v>商务表达与风险控制</x:v>
      </x:c>
      <x:c r="D40" s="25" t="n">
        <x:v>25</x:v>
      </x:c>
      <x:c r="E40" s="25" t="str">
        <x:v>是否专业、清楚、克制地表达，并保护底牌、证据和合同边界。</x:v>
      </x:c>
      <x:c r="F40" s="25" t="str">
        <x:v>措辞失礼、含糊或作出未经授权的承诺。</x:v>
      </x:c>
      <x:c r="G40" s="25" t="str">
        <x:v>语气基本专业，主要信息完整。</x:v>
      </x:c>
      <x:c r="H40" s="25" t="str">
        <x:v>表达精确且维护关系，主动防范误解、越权和履约风险。</x:v>
      </x:c>
      <x:c r="I40" s="25" t="str">
        <x:v>学生的关键措辞、信息披露和条件限定。</x:v>
      </x:c>
      <x:c r="J40" s="26" t="str">
        <x:v>是</x:v>
      </x:c>
    </x:row>
    <x:row r="41">
      <x:c r="A41" s="24" t="str">
        <x:v>RB040</x:v>
      </x:c>
      <x:c r="B41" s="25" t="str">
        <x:v>S14</x:v>
      </x:c>
      <x:c r="C41" s="25" t="str">
        <x:v>局面识别与专业判断</x:v>
      </x:c>
      <x:c r="D41" s="25" t="n">
        <x:v>35</x:v>
      </x:c>
      <x:c r="E41" s="25" t="str">
        <x:v>是否识别两个关键局面、引用相关条件并解释业务后果。</x:v>
      </x:c>
      <x:c r="F41" s="25" t="str">
        <x:v>忽略核心信号，判断与情境或规则冲突。</x:v>
      </x:c>
      <x:c r="G41" s="25" t="str">
        <x:v>能识别主要问题并给出基本理由。</x:v>
      </x:c>
      <x:c r="H41" s="25" t="str">
        <x:v>准确区分边界、风险与优先级，并用于后续决策。</x:v>
      </x:c>
      <x:c r="I41" s="25" t="str">
        <x:v>学生对关键术语、条件、风险和责任的真实表述。</x:v>
      </x:c>
      <x:c r="J41" s="26" t="str">
        <x:v>是</x:v>
      </x:c>
    </x:row>
    <x:row r="42">
      <x:c r="A42" s="24" t="str">
        <x:v>RB041</x:v>
      </x:c>
      <x:c r="B42" s="25" t="str">
        <x:v>S14</x:v>
      </x:c>
      <x:c r="C42" s="25" t="str">
        <x:v>策略选择与行动可执行性</x:v>
      </x:c>
      <x:c r="D42" s="25" t="n">
        <x:v>40</x:v>
      </x:c>
      <x:c r="E42" s="25" t="str">
        <x:v>是否在适用条件下选择策略，并提出对象、条件、期限或交换回报清楚的行动。</x:v>
      </x:c>
      <x:c r="F42" s="25" t="str">
        <x:v>只有立场或情绪，没有可执行下一步。</x:v>
      </x:c>
      <x:c r="G42" s="25" t="str">
        <x:v>提出基本可行行动，但条件或后果不够完整。</x:v>
      </x:c>
      <x:c r="H42" s="25" t="str">
        <x:v>策略与局面高度匹配，能管理交换、证据或流程并推动对方回应。</x:v>
      </x:c>
      <x:c r="I42" s="25" t="str">
        <x:v>学生提出的请求、方案、条件交换或单证修改。</x:v>
      </x:c>
      <x:c r="J42" s="26" t="str">
        <x:v>是</x:v>
      </x:c>
    </x:row>
    <x:row r="43">
      <x:c r="A43" s="24" t="str">
        <x:v>RB042</x:v>
      </x:c>
      <x:c r="B43" s="25" t="str">
        <x:v>S14</x:v>
      </x:c>
      <x:c r="C43" s="25" t="str">
        <x:v>商务表达与风险控制</x:v>
      </x:c>
      <x:c r="D43" s="25" t="n">
        <x:v>25</x:v>
      </x:c>
      <x:c r="E43" s="25" t="str">
        <x:v>是否专业、清楚、克制地表达，并保护底牌、证据和合同边界。</x:v>
      </x:c>
      <x:c r="F43" s="25" t="str">
        <x:v>措辞失礼、含糊或作出未经授权的承诺。</x:v>
      </x:c>
      <x:c r="G43" s="25" t="str">
        <x:v>语气基本专业，主要信息完整。</x:v>
      </x:c>
      <x:c r="H43" s="25" t="str">
        <x:v>表达精确且维护关系，主动防范误解、越权和履约风险。</x:v>
      </x:c>
      <x:c r="I43" s="25" t="str">
        <x:v>学生的关键措辞、信息披露和条件限定。</x:v>
      </x:c>
      <x:c r="J43" s="26" t="str">
        <x:v>是</x:v>
      </x:c>
    </x:row>
    <x:row r="44">
      <x:c r="A44" s="24" t="str">
        <x:v>RB043</x:v>
      </x:c>
      <x:c r="B44" s="25" t="str">
        <x:v>S15</x:v>
      </x:c>
      <x:c r="C44" s="25" t="str">
        <x:v>局面识别与专业判断</x:v>
      </x:c>
      <x:c r="D44" s="25" t="n">
        <x:v>35</x:v>
      </x:c>
      <x:c r="E44" s="25" t="str">
        <x:v>是否识别两个关键局面、引用相关条件并解释业务后果。</x:v>
      </x:c>
      <x:c r="F44" s="25" t="str">
        <x:v>忽略核心信号，判断与情境或规则冲突。</x:v>
      </x:c>
      <x:c r="G44" s="25" t="str">
        <x:v>能识别主要问题并给出基本理由。</x:v>
      </x:c>
      <x:c r="H44" s="25" t="str">
        <x:v>准确区分边界、风险与优先级，并用于后续决策。</x:v>
      </x:c>
      <x:c r="I44" s="25" t="str">
        <x:v>学生对关键术语、条件、风险和责任的真实表述。</x:v>
      </x:c>
      <x:c r="J44" s="26" t="str">
        <x:v>是</x:v>
      </x:c>
    </x:row>
    <x:row r="45">
      <x:c r="A45" s="24" t="str">
        <x:v>RB044</x:v>
      </x:c>
      <x:c r="B45" s="25" t="str">
        <x:v>S15</x:v>
      </x:c>
      <x:c r="C45" s="25" t="str">
        <x:v>策略选择与行动可执行性</x:v>
      </x:c>
      <x:c r="D45" s="25" t="n">
        <x:v>40</x:v>
      </x:c>
      <x:c r="E45" s="25" t="str">
        <x:v>是否在适用条件下选择策略，并提出对象、条件、期限或交换回报清楚的行动。</x:v>
      </x:c>
      <x:c r="F45" s="25" t="str">
        <x:v>只有立场或情绪，没有可执行下一步。</x:v>
      </x:c>
      <x:c r="G45" s="25" t="str">
        <x:v>提出基本可行行动，但条件或后果不够完整。</x:v>
      </x:c>
      <x:c r="H45" s="25" t="str">
        <x:v>策略与局面高度匹配，能管理交换、证据或流程并推动对方回应。</x:v>
      </x:c>
      <x:c r="I45" s="25" t="str">
        <x:v>学生提出的请求、方案、条件交换或单证修改。</x:v>
      </x:c>
      <x:c r="J45" s="26" t="str">
        <x:v>是</x:v>
      </x:c>
    </x:row>
    <x:row r="46">
      <x:c r="A46" s="24" t="str">
        <x:v>RB045</x:v>
      </x:c>
      <x:c r="B46" s="25" t="str">
        <x:v>S15</x:v>
      </x:c>
      <x:c r="C46" s="25" t="str">
        <x:v>商务表达与风险控制</x:v>
      </x:c>
      <x:c r="D46" s="25" t="n">
        <x:v>25</x:v>
      </x:c>
      <x:c r="E46" s="25" t="str">
        <x:v>是否专业、清楚、克制地表达，并保护底牌、证据和合同边界。</x:v>
      </x:c>
      <x:c r="F46" s="25" t="str">
        <x:v>措辞失礼、含糊或作出未经授权的承诺。</x:v>
      </x:c>
      <x:c r="G46" s="25" t="str">
        <x:v>语气基本专业，主要信息完整。</x:v>
      </x:c>
      <x:c r="H46" s="25" t="str">
        <x:v>表达精确且维护关系，主动防范误解、越权和履约风险。</x:v>
      </x:c>
      <x:c r="I46" s="25" t="str">
        <x:v>学生的关键措辞、信息披露和条件限定。</x:v>
      </x:c>
      <x:c r="J46" s="26" t="str">
        <x:v>是</x:v>
      </x:c>
    </x:row>
    <x:row r="47">
      <x:c r="A47" s="24" t="str">
        <x:v>RB046</x:v>
      </x:c>
      <x:c r="B47" s="25" t="str">
        <x:v>S16</x:v>
      </x:c>
      <x:c r="C47" s="25" t="str">
        <x:v>局面识别与专业判断</x:v>
      </x:c>
      <x:c r="D47" s="25" t="n">
        <x:v>35</x:v>
      </x:c>
      <x:c r="E47" s="25" t="str">
        <x:v>是否识别两个关键局面、引用相关条件并解释业务后果。</x:v>
      </x:c>
      <x:c r="F47" s="25" t="str">
        <x:v>忽略核心信号，判断与情境或规则冲突。</x:v>
      </x:c>
      <x:c r="G47" s="25" t="str">
        <x:v>能识别主要问题并给出基本理由。</x:v>
      </x:c>
      <x:c r="H47" s="25" t="str">
        <x:v>准确区分边界、风险与优先级，并用于后续决策。</x:v>
      </x:c>
      <x:c r="I47" s="25" t="str">
        <x:v>学生对关键术语、条件、风险和责任的真实表述。</x:v>
      </x:c>
      <x:c r="J47" s="26" t="str">
        <x:v>是</x:v>
      </x:c>
    </x:row>
    <x:row r="48">
      <x:c r="A48" s="24" t="str">
        <x:v>RB047</x:v>
      </x:c>
      <x:c r="B48" s="25" t="str">
        <x:v>S16</x:v>
      </x:c>
      <x:c r="C48" s="25" t="str">
        <x:v>策略选择与行动可执行性</x:v>
      </x:c>
      <x:c r="D48" s="25" t="n">
        <x:v>40</x:v>
      </x:c>
      <x:c r="E48" s="25" t="str">
        <x:v>是否在适用条件下选择策略，并提出对象、条件、期限或交换回报清楚的行动。</x:v>
      </x:c>
      <x:c r="F48" s="25" t="str">
        <x:v>只有立场或情绪，没有可执行下一步。</x:v>
      </x:c>
      <x:c r="G48" s="25" t="str">
        <x:v>提出基本可行行动，但条件或后果不够完整。</x:v>
      </x:c>
      <x:c r="H48" s="25" t="str">
        <x:v>策略与局面高度匹配，能管理交换、证据或流程并推动对方回应。</x:v>
      </x:c>
      <x:c r="I48" s="25" t="str">
        <x:v>学生提出的请求、方案、条件交换或单证修改。</x:v>
      </x:c>
      <x:c r="J48" s="26" t="str">
        <x:v>是</x:v>
      </x:c>
    </x:row>
    <x:row r="49">
      <x:c r="A49" s="24" t="str">
        <x:v>RB048</x:v>
      </x:c>
      <x:c r="B49" s="25" t="str">
        <x:v>S16</x:v>
      </x:c>
      <x:c r="C49" s="25" t="str">
        <x:v>商务表达与风险控制</x:v>
      </x:c>
      <x:c r="D49" s="25" t="n">
        <x:v>25</x:v>
      </x:c>
      <x:c r="E49" s="25" t="str">
        <x:v>是否专业、清楚、克制地表达，并保护底牌、证据和合同边界。</x:v>
      </x:c>
      <x:c r="F49" s="25" t="str">
        <x:v>措辞失礼、含糊或作出未经授权的承诺。</x:v>
      </x:c>
      <x:c r="G49" s="25" t="str">
        <x:v>语气基本专业，主要信息完整。</x:v>
      </x:c>
      <x:c r="H49" s="25" t="str">
        <x:v>表达精确且维护关系，主动防范误解、越权和履约风险。</x:v>
      </x:c>
      <x:c r="I49" s="25" t="str">
        <x:v>学生的关键措辞、信息披露和条件限定。</x:v>
      </x:c>
      <x:c r="J49" s="26" t="str">
        <x:v>是</x:v>
      </x:c>
    </x:row>
    <x:row r="50">
      <x:c r="A50" s="24" t="str">
        <x:v>RB049</x:v>
      </x:c>
      <x:c r="B50" s="25" t="str">
        <x:v>S17</x:v>
      </x:c>
      <x:c r="C50" s="25" t="str">
        <x:v>局面识别与专业判断</x:v>
      </x:c>
      <x:c r="D50" s="25" t="n">
        <x:v>35</x:v>
      </x:c>
      <x:c r="E50" s="25" t="str">
        <x:v>是否识别两个关键局面、引用相关条件并解释业务后果。</x:v>
      </x:c>
      <x:c r="F50" s="25" t="str">
        <x:v>忽略核心信号，判断与情境或规则冲突。</x:v>
      </x:c>
      <x:c r="G50" s="25" t="str">
        <x:v>能识别主要问题并给出基本理由。</x:v>
      </x:c>
      <x:c r="H50" s="25" t="str">
        <x:v>准确区分边界、风险与优先级，并用于后续决策。</x:v>
      </x:c>
      <x:c r="I50" s="25" t="str">
        <x:v>学生对关键术语、条件、风险和责任的真实表述。</x:v>
      </x:c>
      <x:c r="J50" s="26" t="str">
        <x:v>是</x:v>
      </x:c>
    </x:row>
    <x:row r="51">
      <x:c r="A51" s="24" t="str">
        <x:v>RB050</x:v>
      </x:c>
      <x:c r="B51" s="25" t="str">
        <x:v>S17</x:v>
      </x:c>
      <x:c r="C51" s="25" t="str">
        <x:v>策略选择与行动可执行性</x:v>
      </x:c>
      <x:c r="D51" s="25" t="n">
        <x:v>40</x:v>
      </x:c>
      <x:c r="E51" s="25" t="str">
        <x:v>是否在适用条件下选择策略，并提出对象、条件、期限或交换回报清楚的行动。</x:v>
      </x:c>
      <x:c r="F51" s="25" t="str">
        <x:v>只有立场或情绪，没有可执行下一步。</x:v>
      </x:c>
      <x:c r="G51" s="25" t="str">
        <x:v>提出基本可行行动，但条件或后果不够完整。</x:v>
      </x:c>
      <x:c r="H51" s="25" t="str">
        <x:v>策略与局面高度匹配，能管理交换、证据或流程并推动对方回应。</x:v>
      </x:c>
      <x:c r="I51" s="25" t="str">
        <x:v>学生提出的请求、方案、条件交换或单证修改。</x:v>
      </x:c>
      <x:c r="J51" s="26" t="str">
        <x:v>是</x:v>
      </x:c>
    </x:row>
    <x:row r="52">
      <x:c r="A52" s="24" t="str">
        <x:v>RB051</x:v>
      </x:c>
      <x:c r="B52" s="25" t="str">
        <x:v>S17</x:v>
      </x:c>
      <x:c r="C52" s="25" t="str">
        <x:v>商务表达与风险控制</x:v>
      </x:c>
      <x:c r="D52" s="25" t="n">
        <x:v>25</x:v>
      </x:c>
      <x:c r="E52" s="25" t="str">
        <x:v>是否专业、清楚、克制地表达，并保护底牌、证据和合同边界。</x:v>
      </x:c>
      <x:c r="F52" s="25" t="str">
        <x:v>措辞失礼、含糊或作出未经授权的承诺。</x:v>
      </x:c>
      <x:c r="G52" s="25" t="str">
        <x:v>语气基本专业，主要信息完整。</x:v>
      </x:c>
      <x:c r="H52" s="25" t="str">
        <x:v>表达精确且维护关系，主动防范误解、越权和履约风险。</x:v>
      </x:c>
      <x:c r="I52" s="25" t="str">
        <x:v>学生的关键措辞、信息披露和条件限定。</x:v>
      </x:c>
      <x:c r="J52" s="26" t="str">
        <x:v>是</x:v>
      </x:c>
    </x:row>
    <x:row r="53">
      <x:c r="A53" s="24" t="str">
        <x:v>RB052</x:v>
      </x:c>
      <x:c r="B53" s="25" t="str">
        <x:v>S18</x:v>
      </x:c>
      <x:c r="C53" s="25" t="str">
        <x:v>局面识别与专业判断</x:v>
      </x:c>
      <x:c r="D53" s="25" t="n">
        <x:v>35</x:v>
      </x:c>
      <x:c r="E53" s="25" t="str">
        <x:v>是否识别两个关键局面、引用相关条件并解释业务后果。</x:v>
      </x:c>
      <x:c r="F53" s="25" t="str">
        <x:v>忽略核心信号，判断与情境或规则冲突。</x:v>
      </x:c>
      <x:c r="G53" s="25" t="str">
        <x:v>能识别主要问题并给出基本理由。</x:v>
      </x:c>
      <x:c r="H53" s="25" t="str">
        <x:v>准确区分边界、风险与优先级，并用于后续决策。</x:v>
      </x:c>
      <x:c r="I53" s="25" t="str">
        <x:v>学生对关键术语、条件、风险和责任的真实表述。</x:v>
      </x:c>
      <x:c r="J53" s="26" t="str">
        <x:v>是</x:v>
      </x:c>
    </x:row>
    <x:row r="54">
      <x:c r="A54" s="24" t="str">
        <x:v>RB053</x:v>
      </x:c>
      <x:c r="B54" s="25" t="str">
        <x:v>S18</x:v>
      </x:c>
      <x:c r="C54" s="25" t="str">
        <x:v>策略选择与行动可执行性</x:v>
      </x:c>
      <x:c r="D54" s="25" t="n">
        <x:v>40</x:v>
      </x:c>
      <x:c r="E54" s="25" t="str">
        <x:v>是否在适用条件下选择策略，并提出对象、条件、期限或交换回报清楚的行动。</x:v>
      </x:c>
      <x:c r="F54" s="25" t="str">
        <x:v>只有立场或情绪，没有可执行下一步。</x:v>
      </x:c>
      <x:c r="G54" s="25" t="str">
        <x:v>提出基本可行行动，但条件或后果不够完整。</x:v>
      </x:c>
      <x:c r="H54" s="25" t="str">
        <x:v>策略与局面高度匹配，能管理交换、证据或流程并推动对方回应。</x:v>
      </x:c>
      <x:c r="I54" s="25" t="str">
        <x:v>学生提出的请求、方案、条件交换或单证修改。</x:v>
      </x:c>
      <x:c r="J54" s="26" t="str">
        <x:v>是</x:v>
      </x:c>
    </x:row>
    <x:row r="55">
      <x:c r="A55" s="24" t="str">
        <x:v>RB054</x:v>
      </x:c>
      <x:c r="B55" s="25" t="str">
        <x:v>S18</x:v>
      </x:c>
      <x:c r="C55" s="25" t="str">
        <x:v>商务表达与风险控制</x:v>
      </x:c>
      <x:c r="D55" s="25" t="n">
        <x:v>25</x:v>
      </x:c>
      <x:c r="E55" s="25" t="str">
        <x:v>是否专业、清楚、克制地表达，并保护底牌、证据和合同边界。</x:v>
      </x:c>
      <x:c r="F55" s="25" t="str">
        <x:v>措辞失礼、含糊或作出未经授权的承诺。</x:v>
      </x:c>
      <x:c r="G55" s="25" t="str">
        <x:v>语气基本专业，主要信息完整。</x:v>
      </x:c>
      <x:c r="H55" s="25" t="str">
        <x:v>表达精确且维护关系，主动防范误解、越权和履约风险。</x:v>
      </x:c>
      <x:c r="I55" s="25" t="str">
        <x:v>学生的关键措辞、信息披露和条件限定。</x:v>
      </x:c>
      <x:c r="J55" s="26" t="str">
        <x:v>是</x:v>
      </x:c>
    </x:row>
    <x:row r="56">
      <x:c r="A56" s="24" t="str">
        <x:v>RB055</x:v>
      </x:c>
      <x:c r="B56" s="25" t="str">
        <x:v>S19</x:v>
      </x:c>
      <x:c r="C56" s="25" t="str">
        <x:v>局面识别与专业判断</x:v>
      </x:c>
      <x:c r="D56" s="25" t="n">
        <x:v>35</x:v>
      </x:c>
      <x:c r="E56" s="25" t="str">
        <x:v>是否识别两个关键局面、引用相关条件并解释业务后果。</x:v>
      </x:c>
      <x:c r="F56" s="25" t="str">
        <x:v>忽略核心信号，判断与情境或规则冲突。</x:v>
      </x:c>
      <x:c r="G56" s="25" t="str">
        <x:v>能识别主要问题并给出基本理由。</x:v>
      </x:c>
      <x:c r="H56" s="25" t="str">
        <x:v>准确区分边界、风险与优先级，并用于后续决策。</x:v>
      </x:c>
      <x:c r="I56" s="25" t="str">
        <x:v>学生对关键术语、条件、风险和责任的真实表述。</x:v>
      </x:c>
      <x:c r="J56" s="26" t="str">
        <x:v>是</x:v>
      </x:c>
    </x:row>
    <x:row r="57">
      <x:c r="A57" s="24" t="str">
        <x:v>RB056</x:v>
      </x:c>
      <x:c r="B57" s="25" t="str">
        <x:v>S19</x:v>
      </x:c>
      <x:c r="C57" s="25" t="str">
        <x:v>策略选择与行动可执行性</x:v>
      </x:c>
      <x:c r="D57" s="25" t="n">
        <x:v>40</x:v>
      </x:c>
      <x:c r="E57" s="25" t="str">
        <x:v>是否在适用条件下选择策略，并提出对象、条件、期限或交换回报清楚的行动。</x:v>
      </x:c>
      <x:c r="F57" s="25" t="str">
        <x:v>只有立场或情绪，没有可执行下一步。</x:v>
      </x:c>
      <x:c r="G57" s="25" t="str">
        <x:v>提出基本可行行动，但条件或后果不够完整。</x:v>
      </x:c>
      <x:c r="H57" s="25" t="str">
        <x:v>策略与局面高度匹配，能管理交换、证据或流程并推动对方回应。</x:v>
      </x:c>
      <x:c r="I57" s="25" t="str">
        <x:v>学生提出的请求、方案、条件交换或单证修改。</x:v>
      </x:c>
      <x:c r="J57" s="26" t="str">
        <x:v>是</x:v>
      </x:c>
    </x:row>
    <x:row r="58">
      <x:c r="A58" s="24" t="str">
        <x:v>RB057</x:v>
      </x:c>
      <x:c r="B58" s="25" t="str">
        <x:v>S19</x:v>
      </x:c>
      <x:c r="C58" s="25" t="str">
        <x:v>商务表达与风险控制</x:v>
      </x:c>
      <x:c r="D58" s="25" t="n">
        <x:v>25</x:v>
      </x:c>
      <x:c r="E58" s="25" t="str">
        <x:v>是否专业、清楚、克制地表达，并保护底牌、证据和合同边界。</x:v>
      </x:c>
      <x:c r="F58" s="25" t="str">
        <x:v>措辞失礼、含糊或作出未经授权的承诺。</x:v>
      </x:c>
      <x:c r="G58" s="25" t="str">
        <x:v>语气基本专业，主要信息完整。</x:v>
      </x:c>
      <x:c r="H58" s="25" t="str">
        <x:v>表达精确且维护关系，主动防范误解、越权和履约风险。</x:v>
      </x:c>
      <x:c r="I58" s="25" t="str">
        <x:v>学生的关键措辞、信息披露和条件限定。</x:v>
      </x:c>
      <x:c r="J58" s="26" t="str">
        <x:v>是</x:v>
      </x:c>
    </x:row>
    <x:row r="59">
      <x:c r="A59" s="24" t="str">
        <x:v>RB058</x:v>
      </x:c>
      <x:c r="B59" s="25" t="str">
        <x:v>S20</x:v>
      </x:c>
      <x:c r="C59" s="25" t="str">
        <x:v>局面识别与专业判断</x:v>
      </x:c>
      <x:c r="D59" s="25" t="n">
        <x:v>35</x:v>
      </x:c>
      <x:c r="E59" s="25" t="str">
        <x:v>是否识别两个关键局面、引用相关条件并解释业务后果。</x:v>
      </x:c>
      <x:c r="F59" s="25" t="str">
        <x:v>忽略核心信号，判断与情境或规则冲突。</x:v>
      </x:c>
      <x:c r="G59" s="25" t="str">
        <x:v>能识别主要问题并给出基本理由。</x:v>
      </x:c>
      <x:c r="H59" s="25" t="str">
        <x:v>准确区分边界、风险与优先级，并用于后续决策。</x:v>
      </x:c>
      <x:c r="I59" s="25" t="str">
        <x:v>学生对关键术语、条件、风险和责任的真实表述。</x:v>
      </x:c>
      <x:c r="J59" s="26" t="str">
        <x:v>是</x:v>
      </x:c>
    </x:row>
    <x:row r="60">
      <x:c r="A60" s="24" t="str">
        <x:v>RB059</x:v>
      </x:c>
      <x:c r="B60" s="25" t="str">
        <x:v>S20</x:v>
      </x:c>
      <x:c r="C60" s="25" t="str">
        <x:v>策略选择与行动可执行性</x:v>
      </x:c>
      <x:c r="D60" s="25" t="n">
        <x:v>40</x:v>
      </x:c>
      <x:c r="E60" s="25" t="str">
        <x:v>是否在适用条件下选择策略，并提出对象、条件、期限或交换回报清楚的行动。</x:v>
      </x:c>
      <x:c r="F60" s="25" t="str">
        <x:v>只有立场或情绪，没有可执行下一步。</x:v>
      </x:c>
      <x:c r="G60" s="25" t="str">
        <x:v>提出基本可行行动，但条件或后果不够完整。</x:v>
      </x:c>
      <x:c r="H60" s="25" t="str">
        <x:v>策略与局面高度匹配，能管理交换、证据或流程并推动对方回应。</x:v>
      </x:c>
      <x:c r="I60" s="25" t="str">
        <x:v>学生提出的请求、方案、条件交换或单证修改。</x:v>
      </x:c>
      <x:c r="J60" s="26" t="str">
        <x:v>是</x:v>
      </x:c>
    </x:row>
    <x:row r="61">
      <x:c r="A61" s="27" t="str">
        <x:v>RB060</x:v>
      </x:c>
      <x:c r="B61" s="28" t="str">
        <x:v>S20</x:v>
      </x:c>
      <x:c r="C61" s="28" t="str">
        <x:v>商务表达与风险控制</x:v>
      </x:c>
      <x:c r="D61" s="28" t="n">
        <x:v>25</x:v>
      </x:c>
      <x:c r="E61" s="28" t="str">
        <x:v>是否专业、清楚、克制地表达，并保护底牌、证据和合同边界。</x:v>
      </x:c>
      <x:c r="F61" s="28" t="str">
        <x:v>措辞失礼、含糊或作出未经授权的承诺。</x:v>
      </x:c>
      <x:c r="G61" s="28" t="str">
        <x:v>语气基本专业，主要信息完整。</x:v>
      </x:c>
      <x:c r="H61" s="28" t="str">
        <x:v>表达精确且维护关系，主动防范误解、越权和履约风险。</x:v>
      </x:c>
      <x:c r="I61" s="28" t="str">
        <x:v>学生的关键措辞、信息披露和条件限定。</x:v>
      </x:c>
      <x:c r="J61" s="29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2af6e036dd3849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45" hidden="0" customWidth="1"/>
    <x:col min="5" max="5" width="45" hidden="0" customWidth="1"/>
    <x:col min="6" max="6" width="10" hidden="0" customWidth="1"/>
    <x:col min="7" max="7" width="42" hidden="0" customWidth="1"/>
    <x:col min="8" max="8" width="35" hidden="0" customWidth="1"/>
  </x:cols>
  <x:sheetData>
    <x:row r="1" ht="30" customHeight="1">
      <x:c r="A1" s="21" t="str">
        <x:v>OutcomeID</x:v>
      </x:c>
      <x:c r="B1" s="22" t="str">
        <x:v>ScenarioID</x:v>
      </x:c>
      <x:c r="C1" s="22" t="str">
        <x:v>ResultCategory</x:v>
      </x:c>
      <x:c r="D1" s="22" t="str">
        <x:v>PossibleOutcome</x:v>
      </x:c>
      <x:c r="E1" s="22" t="str">
        <x:v>Condition</x:v>
      </x:c>
      <x:c r="F1" s="22" t="str">
        <x:v>Ideal</x:v>
      </x:c>
      <x:c r="G1" s="22" t="str">
        <x:v>ReflectionQuestion</x:v>
      </x:c>
      <x:c r="H1" s="23" t="str">
        <x:v>NextPractice</x:v>
      </x:c>
    </x:row>
    <x:row r="2">
      <x:c r="A2" s="24" t="str">
        <x:v>OC001</x:v>
      </x:c>
      <x:c r="B2" s="25" t="str">
        <x:v>S01</x:v>
      </x:c>
      <x:c r="C2" s="25" t="str">
        <x:v>商务结果</x:v>
      </x:c>
      <x:c r="D2" s="25" t="str">
        <x:v>学生能以可信、礼貌且行动明确的首函开启后续业务沟通。</x:v>
      </x:c>
      <x:c r="E2" s="25" t="str">
        <x:v>学生识别两个局面，并在适用条件下执行至少一条核心策略，AI 对手作出可验证回应。</x:v>
      </x:c>
      <x:c r="F2" s="25" t="str">
        <x:v>是</x:v>
      </x:c>
      <x:c r="G2" s="25" t="str">
        <x:v>哪一个判断或行动最直接推动了本轮结果？如何迁移到下一关？</x:v>
      </x:c>
      <x:c r="H2" s="26" t="str">
        <x:v>按课程路线进入下一小节。</x:v>
      </x:c>
    </x:row>
    <x:row r="3">
      <x:c r="A3" s="24" t="str">
        <x:v>OC002</x:v>
      </x:c>
      <x:c r="B3" s="25" t="str">
        <x:v>S01</x:v>
      </x:c>
      <x:c r="C3" s="25" t="str">
        <x:v>风险控制</x:v>
      </x:c>
      <x:c r="D3" s="25" t="str">
        <x:v>关键风险未被控制：披露过多底牌或夸大需求，损害后续谈判可信度。</x:v>
      </x:c>
      <x:c r="E3" s="25" t="str">
        <x:v>学生忽略关键条件，或使用了表中“不建议的做法”，且在脚手架后仍未修正。</x:v>
      </x:c>
      <x:c r="F3" s="25" t="str">
        <x:v>否</x:v>
      </x:c>
      <x:c r="G3" s="25" t="str">
        <x:v>若只能重做一个决策，你会先补充哪项证据、条件或行动？</x:v>
      </x:c>
      <x:c r="H3" s="26" t="str">
        <x:v>重练“初次接触并索取目录”并仅使用一级提示。</x:v>
      </x:c>
    </x:row>
    <x:row r="4">
      <x:c r="A4" s="24" t="str">
        <x:v>OC003</x:v>
      </x:c>
      <x:c r="B4" s="25" t="str">
        <x:v>S02</x:v>
      </x:c>
      <x:c r="C4" s="25" t="str">
        <x:v>商务结果</x:v>
      </x:c>
      <x:c r="D4" s="25" t="str">
        <x:v>学生能提出要素齐全、保留议价空间且足以推动正式报盘的询盘。</x:v>
      </x:c>
      <x:c r="E4" s="25" t="str">
        <x:v>学生识别两个局面，并在适用条件下执行至少一条核心策略，AI 对手作出可验证回应。</x:v>
      </x:c>
      <x:c r="F4" s="25" t="str">
        <x:v>是</x:v>
      </x:c>
      <x:c r="G4" s="25" t="str">
        <x:v>哪一个判断或行动最直接推动了本轮结果？如何迁移到下一关？</x:v>
      </x:c>
      <x:c r="H4" s="26" t="str">
        <x:v>按课程路线进入下一小节。</x:v>
      </x:c>
    </x:row>
    <x:row r="5">
      <x:c r="A5" s="24" t="str">
        <x:v>OC004</x:v>
      </x:c>
      <x:c r="B5" s="25" t="str">
        <x:v>S02</x:v>
      </x:c>
      <x:c r="C5" s="25" t="str">
        <x:v>风险控制</x:v>
      </x:c>
      <x:c r="D5" s="25" t="str">
        <x:v>关键风险未被控制：过早暴露底牌导致卖方贴近预算定价。</x:v>
      </x:c>
      <x:c r="E5" s="25" t="str">
        <x:v>学生忽略关键条件，或使用了表中“不建议的做法”，且在脚手架后仍未修正。</x:v>
      </x:c>
      <x:c r="F5" s="25" t="str">
        <x:v>否</x:v>
      </x:c>
      <x:c r="G5" s="25" t="str">
        <x:v>若只能重做一个决策，你会先补充哪项证据、条件或行动？</x:v>
      </x:c>
      <x:c r="H5" s="26" t="str">
        <x:v>重练“发出要素完整的具体询盘”并仅使用一级提示。</x:v>
      </x:c>
    </x:row>
    <x:row r="6">
      <x:c r="A6" s="24" t="str">
        <x:v>OC005</x:v>
      </x:c>
      <x:c r="B6" s="25" t="str">
        <x:v>S03</x:v>
      </x:c>
      <x:c r="C6" s="25" t="str">
        <x:v>商务结果</x:v>
      </x:c>
      <x:c r="D6" s="25" t="str">
        <x:v>学生能控制催复节奏，以信息换信息推动卖方进入正式报盘。</x:v>
      </x:c>
      <x:c r="E6" s="25" t="str">
        <x:v>学生识别两个局面，并在适用条件下执行至少一条核心策略，AI 对手作出可验证回应。</x:v>
      </x:c>
      <x:c r="F6" s="25" t="str">
        <x:v>是</x:v>
      </x:c>
      <x:c r="G6" s="25" t="str">
        <x:v>哪一个判断或行动最直接推动了本轮结果？如何迁移到下一关？</x:v>
      </x:c>
      <x:c r="H6" s="26" t="str">
        <x:v>按课程路线进入下一小节。</x:v>
      </x:c>
    </x:row>
    <x:row r="7">
      <x:c r="A7" s="24" t="str">
        <x:v>OC006</x:v>
      </x:c>
      <x:c r="B7" s="25" t="str">
        <x:v>S03</x:v>
      </x:c>
      <x:c r="C7" s="25" t="str">
        <x:v>风险控制</x:v>
      </x:c>
      <x:c r="D7" s="25" t="str">
        <x:v>关键风险未被控制：买方底牌被单向收集，却仍得不到正式报价。</x:v>
      </x:c>
      <x:c r="E7" s="25" t="str">
        <x:v>学生忽略关键条件，或使用了表中“不建议的做法”，且在脚手架后仍未修正。</x:v>
      </x:c>
      <x:c r="F7" s="25" t="str">
        <x:v>否</x:v>
      </x:c>
      <x:c r="G7" s="25" t="str">
        <x:v>若只能重做一个决策，你会先补充哪项证据、条件或行动？</x:v>
      </x:c>
      <x:c r="H7" s="26" t="str">
        <x:v>重练“催询并进行条件探询”并仅使用一级提示。</x:v>
      </x:c>
    </x:row>
    <x:row r="8">
      <x:c r="A8" s="24" t="str">
        <x:v>OC007</x:v>
      </x:c>
      <x:c r="B8" s="25" t="str">
        <x:v>S04</x:v>
      </x:c>
      <x:c r="C8" s="25" t="str">
        <x:v>商务结果</x:v>
      </x:c>
      <x:c r="D8" s="25" t="str">
        <x:v>学生能识别无约束报价并推动对方作出可依赖的正式承诺。</x:v>
      </x:c>
      <x:c r="E8" s="25" t="str">
        <x:v>学生识别两个局面，并在适用条件下执行至少一条核心策略，AI 对手作出可验证回应。</x:v>
      </x:c>
      <x:c r="F8" s="25" t="str">
        <x:v>是</x:v>
      </x:c>
      <x:c r="G8" s="25" t="str">
        <x:v>哪一个判断或行动最直接推动了本轮结果？如何迁移到下一关？</x:v>
      </x:c>
      <x:c r="H8" s="26" t="str">
        <x:v>按课程路线进入下一小节。</x:v>
      </x:c>
    </x:row>
    <x:row r="9">
      <x:c r="A9" s="24" t="str">
        <x:v>OC008</x:v>
      </x:c>
      <x:c r="B9" s="25" t="str">
        <x:v>S04</x:v>
      </x:c>
      <x:c r="C9" s="25" t="str">
        <x:v>风险控制</x:v>
      </x:c>
      <x:c r="D9" s="25" t="str">
        <x:v>关键风险未被控制：买方无法安排接受、还盘和内部审批。</x:v>
      </x:c>
      <x:c r="E9" s="25" t="str">
        <x:v>学生忽略关键条件，或使用了表中“不建议的做法”，且在脚手架后仍未修正。</x:v>
      </x:c>
      <x:c r="F9" s="25" t="str">
        <x:v>否</x:v>
      </x:c>
      <x:c r="G9" s="25" t="str">
        <x:v>若只能重做一个决策，你会先补充哪项证据、条件或行动？</x:v>
      </x:c>
      <x:c r="H9" s="26" t="str">
        <x:v>重练“识别虚盘并推动实盘”并仅使用一级提示。</x:v>
      </x:c>
    </x:row>
    <x:row r="10">
      <x:c r="A10" s="24" t="str">
        <x:v>OC009</x:v>
      </x:c>
      <x:c r="B10" s="25" t="str">
        <x:v>S05</x:v>
      </x:c>
      <x:c r="C10" s="25" t="str">
        <x:v>商务结果</x:v>
      </x:c>
      <x:c r="D10" s="25" t="str">
        <x:v>学生能把完整实盘转化为准确、及时且法律效果清楚的回应。</x:v>
      </x:c>
      <x:c r="E10" s="25" t="str">
        <x:v>学生识别两个局面，并在适用条件下执行至少一条核心策略，AI 对手作出可验证回应。</x:v>
      </x:c>
      <x:c r="F10" s="25" t="str">
        <x:v>是</x:v>
      </x:c>
      <x:c r="G10" s="25" t="str">
        <x:v>哪一个判断或行动最直接推动了本轮结果？如何迁移到下一关？</x:v>
      </x:c>
      <x:c r="H10" s="26" t="str">
        <x:v>按课程路线进入下一小节。</x:v>
      </x:c>
    </x:row>
    <x:row r="11">
      <x:c r="A11" s="24" t="str">
        <x:v>OC010</x:v>
      </x:c>
      <x:c r="B11" s="25" t="str">
        <x:v>S05</x:v>
      </x:c>
      <x:c r="C11" s="25" t="str">
        <x:v>风险控制</x:v>
      </x:c>
      <x:c r="D11" s="25" t="str">
        <x:v>关键风险未被控制：双方对合同是否成立产生相反理解。</x:v>
      </x:c>
      <x:c r="E11" s="25" t="str">
        <x:v>学生忽略关键条件，或使用了表中“不建议的做法”，且在脚手架后仍未修正。</x:v>
      </x:c>
      <x:c r="F11" s="25" t="str">
        <x:v>否</x:v>
      </x:c>
      <x:c r="G11" s="25" t="str">
        <x:v>若只能重做一个决策，你会先补充哪项证据、条件或行动？</x:v>
      </x:c>
      <x:c r="H11" s="26" t="str">
        <x:v>重练“复核并回应条件完整的实盘”并仅使用一级提示。</x:v>
      </x:c>
    </x:row>
    <x:row r="12">
      <x:c r="A12" s="24" t="str">
        <x:v>OC011</x:v>
      </x:c>
      <x:c r="B12" s="25" t="str">
        <x:v>S06</x:v>
      </x:c>
      <x:c r="C12" s="25" t="str">
        <x:v>商务结果</x:v>
      </x:c>
      <x:c r="D12" s="25" t="str">
        <x:v>学生能用客观标准与条件交换缩小价格差距，而不是无理由压价。</x:v>
      </x:c>
      <x:c r="E12" s="25" t="str">
        <x:v>学生识别两个局面，并在适用条件下执行至少一条核心策略，AI 对手作出可验证回应。</x:v>
      </x:c>
      <x:c r="F12" s="25" t="str">
        <x:v>是</x:v>
      </x:c>
      <x:c r="G12" s="25" t="str">
        <x:v>哪一个判断或行动最直接推动了本轮结果？如何迁移到下一关？</x:v>
      </x:c>
      <x:c r="H12" s="26" t="str">
        <x:v>按课程路线进入下一小节。</x:v>
      </x:c>
    </x:row>
    <x:row r="13">
      <x:c r="A13" s="24" t="str">
        <x:v>OC012</x:v>
      </x:c>
      <x:c r="B13" s="25" t="str">
        <x:v>S06</x:v>
      </x:c>
      <x:c r="C13" s="25" t="str">
        <x:v>风险控制</x:v>
      </x:c>
      <x:c r="D13" s="25" t="str">
        <x:v>关键风险未被控制：只盯单价会错失等值利益和成交机会。</x:v>
      </x:c>
      <x:c r="E13" s="25" t="str">
        <x:v>学生忽略关键条件，或使用了表中“不建议的做法”，且在脚手架后仍未修正。</x:v>
      </x:c>
      <x:c r="F13" s="25" t="str">
        <x:v>否</x:v>
      </x:c>
      <x:c r="G13" s="25" t="str">
        <x:v>若只能重做一个决策，你会先补充哪项证据、条件或行动？</x:v>
      </x:c>
      <x:c r="H13" s="26" t="str">
        <x:v>重练“开展有依据的价格还盘”并仅使用一级提示。</x:v>
      </x:c>
    </x:row>
    <x:row r="14">
      <x:c r="A14" s="24" t="str">
        <x:v>OC013</x:v>
      </x:c>
      <x:c r="B14" s="25" t="str">
        <x:v>S07</x:v>
      </x:c>
      <x:c r="C14" s="25" t="str">
        <x:v>商务结果</x:v>
      </x:c>
      <x:c r="D14" s="25" t="str">
        <x:v>学生能从立场转向利益，在不同议题间实现有条件交换。</x:v>
      </x:c>
      <x:c r="E14" s="25" t="str">
        <x:v>学生识别两个局面，并在适用条件下执行至少一条核心策略，AI 对手作出可验证回应。</x:v>
      </x:c>
      <x:c r="F14" s="25" t="str">
        <x:v>是</x:v>
      </x:c>
      <x:c r="G14" s="25" t="str">
        <x:v>哪一个判断或行动最直接推动了本轮结果？如何迁移到下一关？</x:v>
      </x:c>
      <x:c r="H14" s="26" t="str">
        <x:v>按课程路线进入下一小节。</x:v>
      </x:c>
    </x:row>
    <x:row r="15">
      <x:c r="A15" s="24" t="str">
        <x:v>OC014</x:v>
      </x:c>
      <x:c r="B15" s="25" t="str">
        <x:v>S07</x:v>
      </x:c>
      <x:c r="C15" s="25" t="str">
        <x:v>风险控制</x:v>
      </x:c>
      <x:c r="D15" s="25" t="str">
        <x:v>关键风险未被控制：为追求快交而接受不可控分批，可能破坏项目计划。</x:v>
      </x:c>
      <x:c r="E15" s="25" t="str">
        <x:v>学生忽略关键条件，或使用了表中“不建议的做法”，且在脚手架后仍未修正。</x:v>
      </x:c>
      <x:c r="F15" s="25" t="str">
        <x:v>否</x:v>
      </x:c>
      <x:c r="G15" s="25" t="str">
        <x:v>若只能重做一个决策，你会先补充哪项证据、条件或行动？</x:v>
      </x:c>
      <x:c r="H15" s="26" t="str">
        <x:v>重练“就付款与交期开展多维磋商”并仅使用一级提示。</x:v>
      </x:c>
    </x:row>
    <x:row r="16">
      <x:c r="A16" s="24" t="str">
        <x:v>OC015</x:v>
      </x:c>
      <x:c r="B16" s="25" t="str">
        <x:v>S08</x:v>
      </x:c>
      <x:c r="C16" s="25" t="str">
        <x:v>商务结果</x:v>
      </x:c>
      <x:c r="D16" s="25" t="str">
        <x:v>学生能用价值创造和清晰收口实现可执行的双赢成交。</x:v>
      </x:c>
      <x:c r="E16" s="25" t="str">
        <x:v>学生识别两个局面，并在适用条件下执行至少一条核心策略，AI 对手作出可验证回应。</x:v>
      </x:c>
      <x:c r="F16" s="25" t="str">
        <x:v>是</x:v>
      </x:c>
      <x:c r="G16" s="25" t="str">
        <x:v>哪一个判断或行动最直接推动了本轮结果？如何迁移到下一关？</x:v>
      </x:c>
      <x:c r="H16" s="26" t="str">
        <x:v>按课程路线进入下一小节。</x:v>
      </x:c>
    </x:row>
    <x:row r="17">
      <x:c r="A17" s="24" t="str">
        <x:v>OC016</x:v>
      </x:c>
      <x:c r="B17" s="25" t="str">
        <x:v>S08</x:v>
      </x:c>
      <x:c r="C17" s="25" t="str">
        <x:v>风险控制</x:v>
      </x:c>
      <x:c r="D17" s="25" t="str">
        <x:v>关键风险未被控制：成交后双方对增值承诺理解不一。</x:v>
      </x:c>
      <x:c r="E17" s="25" t="str">
        <x:v>学生忽略关键条件，或使用了表中“不建议的做法”，且在脚手架后仍未修正。</x:v>
      </x:c>
      <x:c r="F17" s="25" t="str">
        <x:v>否</x:v>
      </x:c>
      <x:c r="G17" s="25" t="str">
        <x:v>若只能重做一个决策，你会先补充哪项证据、条件或行动？</x:v>
      </x:c>
      <x:c r="H17" s="26" t="str">
        <x:v>重练“用有条件接受完成终局成交”并仅使用一级提示。</x:v>
      </x:c>
    </x:row>
    <x:row r="18">
      <x:c r="A18" s="24" t="str">
        <x:v>OC017</x:v>
      </x:c>
      <x:c r="B18" s="25" t="str">
        <x:v>S09</x:v>
      </x:c>
      <x:c r="C18" s="25" t="str">
        <x:v>商务结果</x:v>
      </x:c>
      <x:c r="D18" s="25" t="str">
        <x:v>学生能把谈判结果固化为准确、完整且可执行的书面订单。</x:v>
      </x:c>
      <x:c r="E18" s="25" t="str">
        <x:v>学生识别两个局面，并在适用条件下执行至少一条核心策略，AI 对手作出可验证回应。</x:v>
      </x:c>
      <x:c r="F18" s="25" t="str">
        <x:v>是</x:v>
      </x:c>
      <x:c r="G18" s="25" t="str">
        <x:v>哪一个判断或行动最直接推动了本轮结果？如何迁移到下一关？</x:v>
      </x:c>
      <x:c r="H18" s="26" t="str">
        <x:v>按课程路线进入下一小节。</x:v>
      </x:c>
    </x:row>
    <x:row r="19">
      <x:c r="A19" s="24" t="str">
        <x:v>OC018</x:v>
      </x:c>
      <x:c r="B19" s="25" t="str">
        <x:v>S09</x:v>
      </x:c>
      <x:c r="C19" s="25" t="str">
        <x:v>风险控制</x:v>
      </x:c>
      <x:c r="D19" s="25" t="str">
        <x:v>关键风险未被控制：错误签署后增加改约成本和履约争议。</x:v>
      </x:c>
      <x:c r="E19" s="25" t="str">
        <x:v>学生忽略关键条件，或使用了表中“不建议的做法”，且在脚手架后仍未修正。</x:v>
      </x:c>
      <x:c r="F19" s="25" t="str">
        <x:v>否</x:v>
      </x:c>
      <x:c r="G19" s="25" t="str">
        <x:v>若只能重做一个决策，你会先补充哪项证据、条件或行动？</x:v>
      </x:c>
      <x:c r="H19" s="26" t="str">
        <x:v>重练“确认成交并拟备销售确认书”并仅使用一级提示。</x:v>
      </x:c>
    </x:row>
    <x:row r="20">
      <x:c r="A20" s="24" t="str">
        <x:v>OC019</x:v>
      </x:c>
      <x:c r="B20" s="25" t="str">
        <x:v>S10</x:v>
      </x:c>
      <x:c r="C20" s="25" t="str">
        <x:v>商务结果</x:v>
      </x:c>
      <x:c r="D20" s="25" t="str">
        <x:v>学生能以明确责任、期限和条款清单推动信用证按时开立。</x:v>
      </x:c>
      <x:c r="E20" s="25" t="str">
        <x:v>学生识别两个局面，并在适用条件下执行至少一条核心策略，AI 对手作出可验证回应。</x:v>
      </x:c>
      <x:c r="F20" s="25" t="str">
        <x:v>是</x:v>
      </x:c>
      <x:c r="G20" s="25" t="str">
        <x:v>哪一个判断或行动最直接推动了本轮结果？如何迁移到下一关？</x:v>
      </x:c>
      <x:c r="H20" s="26" t="str">
        <x:v>按课程路线进入下一小节。</x:v>
      </x:c>
    </x:row>
    <x:row r="21">
      <x:c r="A21" s="24" t="str">
        <x:v>OC020</x:v>
      </x:c>
      <x:c r="B21" s="25" t="str">
        <x:v>S10</x:v>
      </x:c>
      <x:c r="C21" s="25" t="str">
        <x:v>风险控制</x:v>
      </x:c>
      <x:c r="D21" s="25" t="str">
        <x:v>关键风险未被控制：不合理条款导致后续改证费用与不符点。</x:v>
      </x:c>
      <x:c r="E21" s="25" t="str">
        <x:v>学生忽略关键条件，或使用了表中“不建议的做法”，且在脚手架后仍未修正。</x:v>
      </x:c>
      <x:c r="F21" s="25" t="str">
        <x:v>否</x:v>
      </x:c>
      <x:c r="G21" s="25" t="str">
        <x:v>若只能重做一个决策，你会先补充哪项证据、条件或行动？</x:v>
      </x:c>
      <x:c r="H21" s="26" t="str">
        <x:v>重练“专业催开信用证”并仅使用一级提示。</x:v>
      </x:c>
    </x:row>
    <x:row r="22">
      <x:c r="A22" s="24" t="str">
        <x:v>OC021</x:v>
      </x:c>
      <x:c r="B22" s="25" t="str">
        <x:v>S11</x:v>
      </x:c>
      <x:c r="C22" s="25" t="str">
        <x:v>商务结果</x:v>
      </x:c>
      <x:c r="D22" s="25" t="str">
        <x:v>学生能形成要素完整、成本合理并可验收的包装与唛头条款。</x:v>
      </x:c>
      <x:c r="E22" s="25" t="str">
        <x:v>学生识别两个局面，并在适用条件下执行至少一条核心策略，AI 对手作出可验证回应。</x:v>
      </x:c>
      <x:c r="F22" s="25" t="str">
        <x:v>是</x:v>
      </x:c>
      <x:c r="G22" s="25" t="str">
        <x:v>哪一个判断或行动最直接推动了本轮结果？如何迁移到下一关？</x:v>
      </x:c>
      <x:c r="H22" s="26" t="str">
        <x:v>按课程路线进入下一小节。</x:v>
      </x:c>
    </x:row>
    <x:row r="23">
      <x:c r="A23" s="24" t="str">
        <x:v>OC022</x:v>
      </x:c>
      <x:c r="B23" s="25" t="str">
        <x:v>S11</x:v>
      </x:c>
      <x:c r="C23" s="25" t="str">
        <x:v>风险控制</x:v>
      </x:c>
      <x:c r="D23" s="25" t="str">
        <x:v>关键风险未被控制：错运、混箱或仓库无法快速分拣。</x:v>
      </x:c>
      <x:c r="E23" s="25" t="str">
        <x:v>学生忽略关键条件，或使用了表中“不建议的做法”，且在脚手架后仍未修正。</x:v>
      </x:c>
      <x:c r="F23" s="25" t="str">
        <x:v>否</x:v>
      </x:c>
      <x:c r="G23" s="25" t="str">
        <x:v>若只能重做一个决策，你会先补充哪项证据、条件或行动？</x:v>
      </x:c>
      <x:c r="H23" s="26" t="str">
        <x:v>重练“磋商包装与运输唛头”并仅使用一级提示。</x:v>
      </x:c>
    </x:row>
    <x:row r="24">
      <x:c r="A24" s="24" t="str">
        <x:v>OC023</x:v>
      </x:c>
      <x:c r="B24" s="25" t="str">
        <x:v>S12</x:v>
      </x:c>
      <x:c r="C24" s="25" t="str">
        <x:v>商务结果</x:v>
      </x:c>
      <x:c r="D24" s="25" t="str">
        <x:v>学生能把物流选择、信用证文本和项目风险联动起来。</x:v>
      </x:c>
      <x:c r="E24" s="25" t="str">
        <x:v>学生识别两个局面，并在适用条件下执行至少一条核心策略，AI 对手作出可验证回应。</x:v>
      </x:c>
      <x:c r="F24" s="25" t="str">
        <x:v>是</x:v>
      </x:c>
      <x:c r="G24" s="25" t="str">
        <x:v>哪一个判断或行动最直接推动了本轮结果？如何迁移到下一关？</x:v>
      </x:c>
      <x:c r="H24" s="26" t="str">
        <x:v>按课程路线进入下一小节。</x:v>
      </x:c>
    </x:row>
    <x:row r="25">
      <x:c r="A25" s="24" t="str">
        <x:v>OC024</x:v>
      </x:c>
      <x:c r="B25" s="25" t="str">
        <x:v>S12</x:v>
      </x:c>
      <x:c r="C25" s="25" t="str">
        <x:v>风险控制</x:v>
      </x:c>
      <x:c r="D25" s="25" t="str">
        <x:v>关键风险未被控制：中转衔接失败导致整体延期。</x:v>
      </x:c>
      <x:c r="E25" s="25" t="str">
        <x:v>学生忽略关键条件，或使用了表中“不建议的做法”，且在脚手架后仍未修正。</x:v>
      </x:c>
      <x:c r="F25" s="25" t="str">
        <x:v>否</x:v>
      </x:c>
      <x:c r="G25" s="25" t="str">
        <x:v>若只能重做一个决策，你会先补充哪项证据、条件或行动？</x:v>
      </x:c>
      <x:c r="H25" s="26" t="str">
        <x:v>重练“磋商分批转船并催装”并仅使用一级提示。</x:v>
      </x:c>
    </x:row>
    <x:row r="26">
      <x:c r="A26" s="24" t="str">
        <x:v>OC025</x:v>
      </x:c>
      <x:c r="B26" s="25" t="str">
        <x:v>S13</x:v>
      </x:c>
      <x:c r="C26" s="25" t="str">
        <x:v>商务结果</x:v>
      </x:c>
      <x:c r="D26" s="25" t="str">
        <x:v>学生能产出依据明确、风险边界清楚的改证意见。</x:v>
      </x:c>
      <x:c r="E26" s="25" t="str">
        <x:v>学生识别两个局面，并在适用条件下执行至少一条核心策略，AI 对手作出可验证回应。</x:v>
      </x:c>
      <x:c r="F26" s="25" t="str">
        <x:v>是</x:v>
      </x:c>
      <x:c r="G26" s="25" t="str">
        <x:v>哪一个判断或行动最直接推动了本轮结果？如何迁移到下一关？</x:v>
      </x:c>
      <x:c r="H26" s="26" t="str">
        <x:v>按课程路线进入下一小节。</x:v>
      </x:c>
    </x:row>
    <x:row r="27">
      <x:c r="A27" s="24" t="str">
        <x:v>OC026</x:v>
      </x:c>
      <x:c r="B27" s="25" t="str">
        <x:v>S13</x:v>
      </x:c>
      <x:c r="C27" s="25" t="str">
        <x:v>风险控制</x:v>
      </x:c>
      <x:c r="D27" s="25" t="str">
        <x:v>关键风险未被控制：无原则改证把卖方履约风险转给买方。</x:v>
      </x:c>
      <x:c r="E27" s="25" t="str">
        <x:v>学生忽略关键条件，或使用了表中“不建议的做法”，且在脚手架后仍未修正。</x:v>
      </x:c>
      <x:c r="F27" s="25" t="str">
        <x:v>否</x:v>
      </x:c>
      <x:c r="G27" s="25" t="str">
        <x:v>若只能重做一个决策，你会先补充哪项证据、条件或行动？</x:v>
      </x:c>
      <x:c r="H27" s="26" t="str">
        <x:v>重练“审核信用证并处理改证”并仅使用一级提示。</x:v>
      </x:c>
    </x:row>
    <x:row r="28">
      <x:c r="A28" s="24" t="str">
        <x:v>OC027</x:v>
      </x:c>
      <x:c r="B28" s="25" t="str">
        <x:v>S14</x:v>
      </x:c>
      <x:c r="C28" s="25" t="str">
        <x:v>商务结果</x:v>
      </x:c>
      <x:c r="D28" s="25" t="str">
        <x:v>学生能把装运信息、单据审核、到港准备和付款节点连成完整流程。</x:v>
      </x:c>
      <x:c r="E28" s="25" t="str">
        <x:v>学生识别两个局面，并在适用条件下执行至少一条核心策略，AI 对手作出可验证回应。</x:v>
      </x:c>
      <x:c r="F28" s="25" t="str">
        <x:v>是</x:v>
      </x:c>
      <x:c r="G28" s="25" t="str">
        <x:v>哪一个判断或行动最直接推动了本轮结果？如何迁移到下一关？</x:v>
      </x:c>
      <x:c r="H28" s="26" t="str">
        <x:v>按课程路线进入下一小节。</x:v>
      </x:c>
    </x:row>
    <x:row r="29">
      <x:c r="A29" s="24" t="str">
        <x:v>OC028</x:v>
      </x:c>
      <x:c r="B29" s="25" t="str">
        <x:v>S14</x:v>
      </x:c>
      <x:c r="C29" s="25" t="str">
        <x:v>风险控制</x:v>
      </x:c>
      <x:c r="D29" s="25" t="str">
        <x:v>关键风险未被控制：无依据拒付造成信用和银行风险。</x:v>
      </x:c>
      <x:c r="E29" s="25" t="str">
        <x:v>学生忽略关键条件，或使用了表中“不建议的做法”，且在脚手架后仍未修正。</x:v>
      </x:c>
      <x:c r="F29" s="25" t="str">
        <x:v>否</x:v>
      </x:c>
      <x:c r="G29" s="25" t="str">
        <x:v>若只能重做一个决策，你会先补充哪项证据、条件或行动？</x:v>
      </x:c>
      <x:c r="H29" s="26" t="str">
        <x:v>重练“核对交单结汇与装运通知”并仅使用一级提示。</x:v>
      </x:c>
    </x:row>
    <x:row r="30">
      <x:c r="A30" s="24" t="str">
        <x:v>OC029</x:v>
      </x:c>
      <x:c r="B30" s="25" t="str">
        <x:v>S15</x:v>
      </x:c>
      <x:c r="C30" s="25" t="str">
        <x:v>商务结果</x:v>
      </x:c>
      <x:c r="D30" s="25" t="str">
        <x:v>学生能用证据程序平衡卖方结算确定性与买方质量救济。</x:v>
      </x:c>
      <x:c r="E30" s="25" t="str">
        <x:v>学生识别两个局面，并在适用条件下执行至少一条核心策略，AI 对手作出可验证回应。</x:v>
      </x:c>
      <x:c r="F30" s="25" t="str">
        <x:v>是</x:v>
      </x:c>
      <x:c r="G30" s="25" t="str">
        <x:v>哪一个判断或行动最直接推动了本轮结果？如何迁移到下一关？</x:v>
      </x:c>
      <x:c r="H30" s="26" t="str">
        <x:v>按课程路线进入下一小节。</x:v>
      </x:c>
    </x:row>
    <x:row r="31">
      <x:c r="A31" s="24" t="str">
        <x:v>OC030</x:v>
      </x:c>
      <x:c r="B31" s="25" t="str">
        <x:v>S15</x:v>
      </x:c>
      <x:c r="C31" s="25" t="str">
        <x:v>风险控制</x:v>
      </x:c>
      <x:c r="D31" s="25" t="str">
        <x:v>关键风险未被控制：过宽权利导致对方拒绝或提高风险溢价。</x:v>
      </x:c>
      <x:c r="E31" s="25" t="str">
        <x:v>学生忽略关键条件，或使用了表中“不建议的做法”，且在脚手架后仍未修正。</x:v>
      </x:c>
      <x:c r="F31" s="25" t="str">
        <x:v>否</x:v>
      </x:c>
      <x:c r="G31" s="25" t="str">
        <x:v>若只能重做一个决策，你会先补充哪项证据、条件或行动？</x:v>
      </x:c>
      <x:c r="H31" s="26" t="str">
        <x:v>重练“形成平衡的检验条款”并仅使用一级提示。</x:v>
      </x:c>
    </x:row>
    <x:row r="32">
      <x:c r="A32" s="24" t="str">
        <x:v>OC031</x:v>
      </x:c>
      <x:c r="B32" s="25" t="str">
        <x:v>S16</x:v>
      </x:c>
      <x:c r="C32" s="25" t="str">
        <x:v>商务结果</x:v>
      </x:c>
      <x:c r="D32" s="25" t="str">
        <x:v>学生能以风险与成本证据做出知情投保决策。</x:v>
      </x:c>
      <x:c r="E32" s="25" t="str">
        <x:v>学生识别两个局面，并在适用条件下执行至少一条核心策略，AI 对手作出可验证回应。</x:v>
      </x:c>
      <x:c r="F32" s="25" t="str">
        <x:v>是</x:v>
      </x:c>
      <x:c r="G32" s="25" t="str">
        <x:v>哪一个判断或行动最直接推动了本轮结果？如何迁移到下一关？</x:v>
      </x:c>
      <x:c r="H32" s="26" t="str">
        <x:v>按课程路线进入下一小节。</x:v>
      </x:c>
    </x:row>
    <x:row r="33">
      <x:c r="A33" s="24" t="str">
        <x:v>OC032</x:v>
      </x:c>
      <x:c r="B33" s="25" t="str">
        <x:v>S16</x:v>
      </x:c>
      <x:c r="C33" s="25" t="str">
        <x:v>风险控制</x:v>
      </x:c>
      <x:c r="D33" s="25" t="str">
        <x:v>关键风险未被控制：支付额外保费却仍存在未识别除外风险。</x:v>
      </x:c>
      <x:c r="E33" s="25" t="str">
        <x:v>学生忽略关键条件，或使用了表中“不建议的做法”，且在脚手架后仍未修正。</x:v>
      </x:c>
      <x:c r="F33" s="25" t="str">
        <x:v>否</x:v>
      </x:c>
      <x:c r="G33" s="25" t="str">
        <x:v>若只能重做一个决策，你会先补充哪项证据、条件或行动？</x:v>
      </x:c>
      <x:c r="H33" s="26" t="str">
        <x:v>重练“磋商保险险别与保费”并仅使用一级提示。</x:v>
      </x:c>
    </x:row>
    <x:row r="34">
      <x:c r="A34" s="24" t="str">
        <x:v>OC033</x:v>
      </x:c>
      <x:c r="B34" s="25" t="str">
        <x:v>S17</x:v>
      </x:c>
      <x:c r="C34" s="25" t="str">
        <x:v>商务结果</x:v>
      </x:c>
      <x:c r="D34" s="25" t="str">
        <x:v>学生能形成唯一、完整并兼顾执行便利的仲裁约定。</x:v>
      </x:c>
      <x:c r="E34" s="25" t="str">
        <x:v>学生识别两个局面，并在适用条件下执行至少一条核心策略，AI 对手作出可验证回应。</x:v>
      </x:c>
      <x:c r="F34" s="25" t="str">
        <x:v>是</x:v>
      </x:c>
      <x:c r="G34" s="25" t="str">
        <x:v>哪一个判断或行动最直接推动了本轮结果？如何迁移到下一关？</x:v>
      </x:c>
      <x:c r="H34" s="26" t="str">
        <x:v>按课程路线进入下一小节。</x:v>
      </x:c>
    </x:row>
    <x:row r="35">
      <x:c r="A35" s="24" t="str">
        <x:v>OC034</x:v>
      </x:c>
      <x:c r="B35" s="25" t="str">
        <x:v>S17</x:v>
      </x:c>
      <x:c r="C35" s="25" t="str">
        <x:v>风险控制</x:v>
      </x:c>
      <x:c r="D35" s="25" t="str">
        <x:v>关键风险未被控制：只争机构名称而忽略真正的程序利益。</x:v>
      </x:c>
      <x:c r="E35" s="25" t="str">
        <x:v>学生忽略关键条件，或使用了表中“不建议的做法”，且在脚手架后仍未修正。</x:v>
      </x:c>
      <x:c r="F35" s="25" t="str">
        <x:v>否</x:v>
      </x:c>
      <x:c r="G35" s="25" t="str">
        <x:v>若只能重做一个决策，你会先补充哪项证据、条件或行动？</x:v>
      </x:c>
      <x:c r="H35" s="26" t="str">
        <x:v>重练“磋商有效明确的仲裁条款”并仅使用一级提示。</x:v>
      </x:c>
    </x:row>
    <x:row r="36">
      <x:c r="A36" s="24" t="str">
        <x:v>OC035</x:v>
      </x:c>
      <x:c r="B36" s="25" t="str">
        <x:v>S18</x:v>
      </x:c>
      <x:c r="C36" s="25" t="str">
        <x:v>商务结果</x:v>
      </x:c>
      <x:c r="D36" s="25" t="str">
        <x:v>学生能提交可核验、归责准确且诉求可执行的英文索赔。</x:v>
      </x:c>
      <x:c r="E36" s="25" t="str">
        <x:v>学生识别两个局面，并在适用条件下执行至少一条核心策略，AI 对手作出可验证回应。</x:v>
      </x:c>
      <x:c r="F36" s="25" t="str">
        <x:v>是</x:v>
      </x:c>
      <x:c r="G36" s="25" t="str">
        <x:v>哪一个判断或行动最直接推动了本轮结果？如何迁移到下一关？</x:v>
      </x:c>
      <x:c r="H36" s="26" t="str">
        <x:v>按课程路线进入下一小节。</x:v>
      </x:c>
    </x:row>
    <x:row r="37">
      <x:c r="A37" s="24" t="str">
        <x:v>OC036</x:v>
      </x:c>
      <x:c r="B37" s="25" t="str">
        <x:v>S18</x:v>
      </x:c>
      <x:c r="C37" s="25" t="str">
        <x:v>风险控制</x:v>
      </x:c>
      <x:c r="D37" s="25" t="str">
        <x:v>关键风险未被控制：对方无法核验，处理被拖延。</x:v>
      </x:c>
      <x:c r="E37" s="25" t="str">
        <x:v>学生忽略关键条件，或使用了表中“不建议的做法”，且在脚手架后仍未修正。</x:v>
      </x:c>
      <x:c r="F37" s="25" t="str">
        <x:v>否</x:v>
      </x:c>
      <x:c r="G37" s="25" t="str">
        <x:v>若只能重做一个决策，你会先补充哪项证据、条件或行动？</x:v>
      </x:c>
      <x:c r="H37" s="26" t="str">
        <x:v>重练“提出证据链完整的质量索赔”并仅使用一级提示。</x:v>
      </x:c>
    </x:row>
    <x:row r="38">
      <x:c r="A38" s="24" t="str">
        <x:v>OC037</x:v>
      </x:c>
      <x:c r="B38" s="25" t="str">
        <x:v>S19</x:v>
      </x:c>
      <x:c r="C38" s="25" t="str">
        <x:v>商务结果</x:v>
      </x:c>
      <x:c r="D38" s="25" t="str">
        <x:v>学生能以证据矩阵和清晰因果链反驳不当推诿。</x:v>
      </x:c>
      <x:c r="E38" s="25" t="str">
        <x:v>学生识别两个局面，并在适用条件下执行至少一条核心策略，AI 对手作出可验证回应。</x:v>
      </x:c>
      <x:c r="F38" s="25" t="str">
        <x:v>是</x:v>
      </x:c>
      <x:c r="G38" s="25" t="str">
        <x:v>哪一个判断或行动最直接推动了本轮结果？如何迁移到下一关？</x:v>
      </x:c>
      <x:c r="H38" s="26" t="str">
        <x:v>按课程路线进入下一小节。</x:v>
      </x:c>
    </x:row>
    <x:row r="39">
      <x:c r="A39" s="24" t="str">
        <x:v>OC038</x:v>
      </x:c>
      <x:c r="B39" s="25" t="str">
        <x:v>S19</x:v>
      </x:c>
      <x:c r="C39" s="25" t="str">
        <x:v>风险控制</x:v>
      </x:c>
      <x:c r="D39" s="25" t="str">
        <x:v>关键风险未被控制：只重复证书结论无法解决争点。</x:v>
      </x:c>
      <x:c r="E39" s="25" t="str">
        <x:v>学生忽略关键条件，或使用了表中“不建议的做法”，且在脚手架后仍未修正。</x:v>
      </x:c>
      <x:c r="F39" s="25" t="str">
        <x:v>否</x:v>
      </x:c>
      <x:c r="G39" s="25" t="str">
        <x:v>若只能重做一个决策，你会先补充哪项证据、条件或行动？</x:v>
      </x:c>
      <x:c r="H39" s="26" t="str">
        <x:v>重练“用证据应对卖方抗辩”并仅使用一级提示。</x:v>
      </x:c>
    </x:row>
    <x:row r="40">
      <x:c r="A40" s="24" t="str">
        <x:v>OC039</x:v>
      </x:c>
      <x:c r="B40" s="25" t="str">
        <x:v>S20</x:v>
      </x:c>
      <x:c r="C40" s="25" t="str">
        <x:v>商务结果</x:v>
      </x:c>
      <x:c r="D40" s="25" t="str">
        <x:v>学生能达成对己方有实质价值、可履行且关系可持续的和解。</x:v>
      </x:c>
      <x:c r="E40" s="25" t="str">
        <x:v>学生识别两个局面，并在适用条件下执行至少一条核心策略，AI 对手作出可验证回应。</x:v>
      </x:c>
      <x:c r="F40" s="25" t="str">
        <x:v>是</x:v>
      </x:c>
      <x:c r="G40" s="25" t="str">
        <x:v>哪一个判断或行动最直接推动了本轮结果？如何迁移到下一关？</x:v>
      </x:c>
      <x:c r="H40" s="26" t="str">
        <x:v>按课程路线进入下一小节。</x:v>
      </x:c>
    </x:row>
    <x:row r="41">
      <x:c r="A41" s="27" t="str">
        <x:v>OC040</x:v>
      </x:c>
      <x:c r="B41" s="28" t="str">
        <x:v>S20</x:v>
      </x:c>
      <x:c r="C41" s="28" t="str">
        <x:v>风险控制</x:v>
      </x:c>
      <x:c r="D41" s="28" t="str">
        <x:v>关键风险未被控制：过度放弃导致后续隐蔽缺陷无法主张。</x:v>
      </x:c>
      <x:c r="E41" s="28" t="str">
        <x:v>学生忽略关键条件，或使用了表中“不建议的做法”，且在脚手架后仍未修正。</x:v>
      </x:c>
      <x:c r="F41" s="28" t="str">
        <x:v>否</x:v>
      </x:c>
      <x:c r="G41" s="28" t="str">
        <x:v>若只能重做一个决策，你会先补充哪项证据、条件或行动？</x:v>
      </x:c>
      <x:c r="H41" s="29" t="str">
        <x:v>重练“谈成可执行的理赔和解”并仅使用一级提示。</x:v>
      </x:c>
    </x:row>
  </x:sheetData>
  <x:pageMargins left="0.7" right="0.7" top="0.75" bottom="0.75" header="0.3" footer="0.3"/>
  <x:tableParts count="1">
    <x:tablePart xmlns:r="http://schemas.openxmlformats.org/officeDocument/2006/relationships" r:id="Rb71d4a7c953448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55" hidden="0" customWidth="1"/>
    <x:col min="5" max="5" width="85" hidden="0" customWidth="1"/>
    <x:col min="6" max="6" width="16" hidden="0" customWidth="1"/>
  </x:cols>
  <x:sheetData>
    <x:row r="1" ht="30" customHeight="1">
      <x:c r="A1" s="21" t="str">
        <x:v>NodeID</x:v>
      </x:c>
      <x:c r="B1" s="22" t="str">
        <x:v>NodeType</x:v>
      </x:c>
      <x:c r="C1" s="22" t="str">
        <x:v>Title</x:v>
      </x:c>
      <x:c r="D1" s="22" t="str">
        <x:v>Summary</x:v>
      </x:c>
      <x:c r="E1" s="22" t="str">
        <x:v>MarkdownContent</x:v>
      </x:c>
      <x:c r="F1" s="23" t="str">
        <x:v>ContentStatus</x:v>
      </x:c>
    </x:row>
    <x:row r="2">
      <x:c r="A2" s="24" t="str">
        <x:v>K001</x:v>
      </x:c>
      <x:c r="B2" s="25" t="str">
        <x:v>KnowledgeResource</x:v>
      </x:c>
      <x:c r="C2" s="25" t="str">
        <x:v>询盘的定义</x:v>
      </x:c>
      <x:c r="D2" s="25" t="str">
        <x:v>询盘是就商品、价格、数量或条件请求信息的行为，它邀请进一步磋商，本身通常不产生承诺权。</x:v>
      </x:c>
      <x:c r="E2" s="25" t="str">
        <x:v># 询盘的定义
## 学习目标
理解“询盘的定义”的核心含义、适用边界，并能在外贸谈判局面中作出有依据的行动。
## 理论精讲
询盘是就商品、价格、数量或条件请求信息的行为，它邀请进一步磋商，本身通常不产生承诺权。
## 专家组英文原文
An inquiry is a request for information on goods, price, quantity, or terms. It invites negotiation; it does not, by itself, create a power of acceptance.
## 训练迁移
在模拟训练中，先识别相关现象，再说明使用本知识或策略的理由，最后给出可执行的商务表达或处理步骤。</x:v>
      </x:c>
      <x:c r="F2" s="26" t="str">
        <x:v>published</x:v>
      </x:c>
    </x:row>
    <x:row r="3">
      <x:c r="A3" s="24" t="str">
        <x:v>K002</x:v>
      </x:c>
      <x:c r="B3" s="25" t="str">
        <x:v>KnowledgeResource</x:v>
      </x:c>
      <x:c r="C3" s="25" t="str">
        <x:v>询盘的类型</x:v>
      </x:c>
      <x:c r="D3" s="25" t="str">
        <x:v>一般询盘用于广泛了解市场；具体询盘明确品名、规格、数量和目的地。类型选择会传递采购意图并影响信息暴露。</x:v>
      </x:c>
      <x:c r="E3" s="25" t="str">
        <x:v># 询盘的类型
## 学习目标
理解“询盘的类型”的核心含义、适用边界，并能在外贸谈判局面中作出有依据的行动。
## 理论精讲
一般询盘用于广泛了解市场；具体询盘明确品名、规格、数量和目的地。类型选择会传递采购意图并影响信息暴露。
## 专家组英文原文
General (broad) inquiries survey the market; specific (precise) inquiries name item, spec, quantity, and destination. Choice of type signals intent and controls information leakage.
## 训练迁移
在模拟训练中，先识别相关现象，再说明使用本知识或策略的理由，最后给出可执行的商务表达或处理步骤。</x:v>
      </x:c>
      <x:c r="F3" s="26" t="str">
        <x:v>published</x:v>
      </x:c>
    </x:row>
    <x:row r="4">
      <x:c r="A4" s="24" t="str">
        <x:v>K003</x:v>
      </x:c>
      <x:c r="B4" s="25" t="str">
        <x:v>KnowledgeResource</x:v>
      </x:c>
      <x:c r="C4" s="25" t="str">
        <x:v>询盘的法律性质</x:v>
      </x:c>
      <x:c r="D4" s="25" t="str">
        <x:v>依 CISG 与普通法要约规则，询盘通常属于要约邀请；只有具备明确条款和受约束意图时才可能构成发盘。</x:v>
      </x:c>
      <x:c r="E4" s="25" t="str">
        <x:v># 询盘的法律性质
## 学习目标
理解“询盘的法律性质”的核心含义、适用边界，并能在外贸谈判局面中作出有依据的行动。
## 理论精讲
依 CISG 与普通法要约规则，询盘通常属于要约邀请；只有具备明确条款和受约束意图时才可能构成发盘。
## 专家组英文原文
Under CISG and common-law offer doctrine, an inquiry is an invitation to treat. It is not an offer unless it contains definite terms and intent to be bound.
## 训练迁移
在模拟训练中，先识别相关现象，再说明使用本知识或策略的理由，最后给出可执行的商务表达或处理步骤。</x:v>
      </x:c>
      <x:c r="F4" s="26" t="str">
        <x:v>published</x:v>
      </x:c>
    </x:row>
    <x:row r="5">
      <x:c r="A5" s="24" t="str">
        <x:v>K004</x:v>
      </x:c>
      <x:c r="B5" s="25" t="str">
        <x:v>KnowledgeResource</x:v>
      </x:c>
      <x:c r="C5" s="25" t="str">
        <x:v>询盘向发盘的转化</x:v>
      </x:c>
      <x:c r="D5" s="25" t="str">
        <x:v>当询盘或回复包含明确主要条款并显示承诺意图时，可能转化为发盘；尚无缔约意图时应审慎措辞。</x:v>
      </x:c>
      <x:c r="E5" s="25" t="str">
        <x:v># 询盘向发盘的转化
## 学习目标
理解“询盘向发盘的转化”的核心含义、适用边界，并能在外贸谈判局面中作出有依据的行动。
## 理论精讲
当询盘或回复包含明确主要条款并显示承诺意图时，可能转化为发盘；尚无缔约意图时应审慎措辞。
## 专家组英文原文
An inquiry (or a reply to one) converts into an offer if essential terms are definite and the language shows commitment. Guard wording when you do not yet intend to be bound.
## 训练迁移
在模拟训练中，先识别相关现象，再说明使用本知识或策略的理由，最后给出可执行的商务表达或处理步骤。</x:v>
      </x:c>
      <x:c r="F5" s="26" t="str">
        <x:v>published</x:v>
      </x:c>
    </x:row>
    <x:row r="6">
      <x:c r="A6" s="24" t="str">
        <x:v>K005</x:v>
      </x:c>
      <x:c r="B6" s="25" t="str">
        <x:v>NegotiationStrategy</x:v>
      </x:c>
      <x:c r="C6" s="25" t="str">
        <x:v>宽泛询盘策略</x:v>
      </x:c>
      <x:c r="D6" s="25" t="str">
        <x:v>用低承诺、宽口径的询盘摸清供应商、价格带和交期，同时避免过早暴露采购量和保留价格。</x:v>
      </x:c>
      <x:c r="E6" s="25" t="str">
        <x:v># 宽泛询盘策略
## 学习目标
理解“宽泛询盘策略”的核心含义、适用边界，并能在外贸谈判局面中作出有依据的行动。
## 理论精讲
用低承诺、宽口径的询盘摸清供应商、价格带和交期，同时避免过早暴露采购量和保留价格。
## 专家组英文原文
Use a wide, low-commitment inquiry to map suppliers, price bands, and lead times without revealing volume or reservation price.
## 训练迁移
在模拟训练中，先识别相关现象，再说明使用本知识或策略的理由，最后给出可执行的商务表达或处理步骤。</x:v>
      </x:c>
      <x:c r="F6" s="26" t="str">
        <x:v>published</x:v>
      </x:c>
    </x:row>
    <x:row r="7">
      <x:c r="A7" s="24" t="str">
        <x:v>K006</x:v>
      </x:c>
      <x:c r="B7" s="25" t="str">
        <x:v>NegotiationStrategy</x:v>
      </x:c>
      <x:c r="C7" s="25" t="str">
        <x:v>精准询盘策略</x:v>
      </x:c>
      <x:c r="D7" s="25" t="str">
        <x:v>准备进行同口径比价和推进发盘时，应发送规格完整的具体询盘，以提高报价质量和回复速度。</x:v>
      </x:c>
      <x:c r="E7" s="25" t="str">
        <x:v># 精准询盘策略
## 学习目标
理解“精准询盘策略”的核心含义、适用边界，并能在外贸谈判局面中作出有依据的行动。
## 理论精讲
准备进行同口径比价和推进发盘时，应发送规格完整的具体询盘，以提高报价质量和回复速度。
## 专家组英文原文
Use a complete, spec-rich inquiry when you are ready to compare like-for-like quotes and move toward an offer. Completeness raises quote quality and speed.
## 训练迁移
在模拟训练中，先识别相关现象，再说明使用本知识或策略的理由，最后给出可执行的商务表达或处理步骤。</x:v>
      </x:c>
      <x:c r="F7" s="26" t="str">
        <x:v>published</x:v>
      </x:c>
    </x:row>
    <x:row r="8">
      <x:c r="A8" s="24" t="str">
        <x:v>K007</x:v>
      </x:c>
      <x:c r="B8" s="25" t="str">
        <x:v>KnowledgeResource</x:v>
      </x:c>
      <x:c r="C8" s="25" t="str">
        <x:v>询盘礼仪与跨文化差异</x:v>
      </x:c>
      <x:c r="D8" s="25" t="str">
        <x:v>高语境文化重视关系线索、称谓和间接接触，低语境文化偏好简洁 RFQ；错配会被视为失礼或不专业。</x:v>
      </x:c>
      <x:c r="E8" s="25" t="str">
        <x:v># 询盘礼仪与跨文化差异
## 学习目标
理解“询盘礼仪与跨文化差异”的核心含义、适用边界，并能在外贸谈判局面中作出有依据的行动。
## 理论精讲
高语境文化重视关系线索、称谓和间接接触，低语境文化偏好简洁 RFQ；错配会被视为失礼或不专业。
## 专家组英文原文
High-context cultures expect relationship cues, titles, and indirect first contact; low-context cultures expect a concise RFQ. Mismatch reads as rudeness or amateurism.
## 训练迁移
在模拟训练中，先识别相关现象，再说明使用本知识或策略的理由，最后给出可执行的商务表达或处理步骤。</x:v>
      </x:c>
      <x:c r="F8" s="26" t="str">
        <x:v>published</x:v>
      </x:c>
    </x:row>
    <x:row r="9">
      <x:c r="A9" s="24" t="str">
        <x:v>K008</x:v>
      </x:c>
      <x:c r="B9" s="25" t="str">
        <x:v>KnowledgeResource</x:v>
      </x:c>
      <x:c r="C9" s="25" t="str">
        <x:v>询盘函结构与语言</x:v>
      </x:c>
      <x:c r="D9" s="25" t="str">
        <x:v>专业询盘应清楚写明身份、商品、规格、数量、目的地、关注条款及回复期限，并保持礼貌与无歧义。</x:v>
      </x:c>
      <x:c r="E9" s="25" t="str">
        <x:v># 询盘函结构与语言
## 学习目标
理解“询盘函结构与语言”的核心含义、适用边界，并能在外贸谈判局面中作出有依据的行动。
## 理论精讲
专业询盘应清楚写明身份、商品、规格、数量、目的地、关注条款及回复期限，并保持礼貌与无歧义。
## 专家组英文原文
A professional inquiry states identity, item, spec, quantity, destination, terms of interest, and a reply-by date — in courteous, unambiguous English (or the counterpart’s language).
## 训练迁移
在模拟训练中，先识别相关现象，再说明使用本知识或策略的理由，最后给出可执行的商务表达或处理步骤。</x:v>
      </x:c>
      <x:c r="F9" s="26" t="str">
        <x:v>published</x:v>
      </x:c>
    </x:row>
    <x:row r="10">
      <x:c r="A10" s="24" t="str">
        <x:v>K009</x:v>
      </x:c>
      <x:c r="B10" s="25" t="str">
        <x:v>KnowledgeResource</x:v>
      </x:c>
      <x:c r="C10" s="25" t="str">
        <x:v>询盘渠道与工具</x:v>
      </x:c>
      <x:c r="D10" s="25" t="str">
        <x:v>询盘可通过展会、B2B 平台、商会、代理或直接邮件进行；渠道选择影响成本、真实性和群发询价风险。</x:v>
      </x:c>
      <x:c r="E10" s="25" t="str">
        <x:v># 询盘渠道与工具
## 学习目标
理解“询盘渠道与工具”的核心含义、适用边界，并能在外贸谈判局面中作出有依据的行动。
## 理论精讲
询盘可通过展会、B2B 平台、商会、代理或直接邮件进行；渠道选择影响成本、真实性和群发询价风险。
## 专家组英文原文
Channels include trade fairs, B2B platforms, chambers, agents, and direct email. Tool choice affects cost, authenticity, and the risk of RFQ flooding.
## 训练迁移
在模拟训练中，先识别相关现象，再说明使用本知识或策略的理由，最后给出可执行的商务表达或处理步骤。</x:v>
      </x:c>
      <x:c r="F10" s="26" t="str">
        <x:v>published</x:v>
      </x:c>
    </x:row>
    <x:row r="11">
      <x:c r="A11" s="24" t="str">
        <x:v>K010</x:v>
      </x:c>
      <x:c r="B11" s="25" t="str">
        <x:v>KnowledgeResource</x:v>
      </x:c>
      <x:c r="C11" s="25" t="str">
        <x:v>询盘前信息收集与市场调研</x:v>
      </x:c>
      <x:c r="D11" s="25" t="str">
        <x:v>询盘前应掌握市场价格、HS 编码、目的地法规、季节性和供应商资质，使询盘有针对性。</x:v>
      </x:c>
      <x:c r="E11" s="25" t="str">
        <x:v># 询盘前信息收集与市场调研
## 学习目标
理解“询盘前信息收集与市场调研”的核心含义、适用边界，并能在外贸谈判局面中作出有依据的行动。
## 理论精讲
询盘前应掌握市场价格、HS 编码、目的地法规、季节性和供应商资质，使询盘有针对性。
## 专家组英文原文
Before inquiring, collect incumbent prices, HS codes, destination rules, seasonality, and supplier credentials so the RFQ is targeted rather than naïve.
## 训练迁移
在模拟训练中，先识别相关现象，再说明使用本知识或策略的理由，最后给出可执行的商务表达或处理步骤。</x:v>
      </x:c>
      <x:c r="F11" s="26" t="str">
        <x:v>published</x:v>
      </x:c>
    </x:row>
    <x:row r="12">
      <x:c r="A12" s="24" t="str">
        <x:v>K011</x:v>
      </x:c>
      <x:c r="B12" s="25" t="str">
        <x:v>KnowledgeResource</x:v>
      </x:c>
      <x:c r="C12" s="25" t="str">
        <x:v>询盘比较分析</x:v>
      </x:c>
      <x:c r="D12" s="25" t="str">
        <x:v>按单价、Incoterm、交期、MOQ、付款及非价格条款进行同口径列表比较，不能把 CIF 与 FOB 报价直接等同。</x:v>
      </x:c>
      <x:c r="E12" s="25" t="str">
        <x:v># 询盘比较分析
## 学习目标
理解“询盘比较分析”的核心含义、适用边界，并能在外贸谈判局面中作出有依据的行动。
## 理论精讲
按单价、Incoterm、交期、MOQ、付款及非价格条款进行同口径列表比较，不能把 CIF 与 FOB 报价直接等同。
## 专家组英文原文
Tabulate replies on unit price, Incoterm, lead time, MOQ, payment, and non-price terms. Do not compare a CIF quote with an FOB quote as if they were equal.
## 训练迁移
在模拟训练中，先识别相关现象，再说明使用本知识或策略的理由，最后给出可执行的商务表达或处理步骤。</x:v>
      </x:c>
      <x:c r="F12" s="26" t="str">
        <x:v>published</x:v>
      </x:c>
    </x:row>
    <x:row r="13">
      <x:c r="A13" s="24" t="str">
        <x:v>K012</x:v>
      </x:c>
      <x:c r="B13" s="25" t="str">
        <x:v>NegotiationStrategy</x:v>
      </x:c>
      <x:c r="C13" s="25" t="str">
        <x:v>询盘阶段价格谈判</x:v>
      </x:c>
      <x:c r="D13" s="25" t="str">
        <x:v>早期谈价应先探取价格区间而非锁死数字；披露采购量应换取更明确报价，避免自我抬价。</x:v>
      </x:c>
      <x:c r="E13" s="25" t="str">
        <x:v># 询盘阶段价格谈判
## 学习目标
理解“询盘阶段价格谈判”的核心含义、适用边界，并能在外贸谈判局面中作出有依据的行动。
## 理论精讲
早期谈价应先探取价格区间而非锁死数字；披露采购量应换取更明确报价，避免自我抬价。
## 专家组英文原文
Early price talk should extract a range, not lock a number. Disclose volume only in exchange for a firmer band; avoid bidding against yourself.
## 训练迁移
在模拟训练中，先识别相关现象，再说明使用本知识或策略的理由，最后给出可执行的商务表达或处理步骤。</x:v>
      </x:c>
      <x:c r="F13" s="26" t="str">
        <x:v>published</x:v>
      </x:c>
    </x:row>
    <x:row r="14">
      <x:c r="A14" s="24" t="str">
        <x:v>K013</x:v>
      </x:c>
      <x:c r="B14" s="25" t="str">
        <x:v>KnowledgeResource</x:v>
      </x:c>
      <x:c r="C14" s="25" t="str">
        <x:v>发盘的定义</x:v>
      </x:c>
      <x:c r="D14" s="25" t="str">
        <x:v>发盘是包含明确条款并表明一经接受即受约束的交易建议；保留最终确认的报价或形式发票通常不构成发盘。</x:v>
      </x:c>
      <x:c r="E14" s="25" t="str">
        <x:v># 发盘的定义
## 学习目标
理解“发盘的定义”的核心含义、适用边界，并能在外贸谈判局面中作出有依据的行动。
## 理论精讲
发盘是包含明确条款并表明一经接受即受约束的交易建议；保留最终确认的报价或形式发票通常不构成发盘。
## 专家组英文原文
An offer is a proposal of definite terms made with intent to be bound upon acceptance. A quotation or proforma that reserves confirmation is not an offer.
## 训练迁移
在模拟训练中，先识别相关现象，再说明使用本知识或策略的理由，最后给出可执行的商务表达或处理步骤。</x:v>
      </x:c>
      <x:c r="F14" s="26" t="str">
        <x:v>published</x:v>
      </x:c>
    </x:row>
    <x:row r="15">
      <x:c r="A15" s="24" t="str">
        <x:v>K014</x:v>
      </x:c>
      <x:c r="B15" s="25" t="str">
        <x:v>KnowledgeResource</x:v>
      </x:c>
      <x:c r="C15" s="25" t="str">
        <x:v>发盘的法律性质与解释</x:v>
      </x:c>
      <x:c r="D15" s="25" t="str">
        <x:v>CISG 第14—17条及国内法决定建议是否足够明确、能否撤销；解释还要结合文本、惯例和后续行为。</x:v>
      </x:c>
      <x:c r="E15" s="25" t="str">
        <x:v># 发盘的法律性质与解释
## 学习目标
理解“发盘的法律性质与解释”的核心含义、适用边界，并能在外贸谈判局面中作出有依据的行动。
## 理论精讲
CISG 第14—17条及国内法决定建议是否足够明确、能否撤销；解释还要结合文本、惯例和后续行为。
## 专家组英文原文
CISG Arts. 14–17 and domestic law decide when a proposal is sufficiently definite and whether it is revocable. Interpretation looks to the text, usages, and subsequent conduct.
## 训练迁移
在模拟训练中，先识别相关现象，再说明使用本知识或策略的理由，最后给出可执行的商务表达或处理步骤。</x:v>
      </x:c>
      <x:c r="F15" s="26" t="str">
        <x:v>published</x:v>
      </x:c>
    </x:row>
    <x:row r="16">
      <x:c r="A16" s="24" t="str">
        <x:v>K015</x:v>
      </x:c>
      <x:c r="B16" s="25" t="str">
        <x:v>KnowledgeResource</x:v>
      </x:c>
      <x:c r="C16" s="25" t="str">
        <x:v>发盘有效期</x:v>
      </x:c>
      <x:c r="D16" s="25" t="str">
        <x:v>明确写出具体截止日期、时间和时区，是控制逾期接受与撤销风险的最清晰办法。</x:v>
      </x:c>
      <x:c r="E16" s="25" t="str">
        <x:v># 发盘有效期
## 学习目标
理解“发盘有效期”的核心含义、适用边界，并能在外贸谈判局面中作出有依据的行动。
## 理论精讲
明确写出具体截止日期、时间和时区，是控制逾期接受与撤销风险的最清晰办法。
## 专家组英文原文
A stated validity period (e.g. 'this offer remains firm until 17:00 Beijing time on 15 May') is the cleanest way to control late acceptance and revocation.
## 训练迁移
在模拟训练中，先识别相关现象，再说明使用本知识或策略的理由，最后给出可执行的商务表达或处理步骤。</x:v>
      </x:c>
      <x:c r="F16" s="26" t="str">
        <x:v>published</x:v>
      </x:c>
    </x:row>
    <x:row r="17">
      <x:c r="A17" s="24" t="str">
        <x:v>K016</x:v>
      </x:c>
      <x:c r="B17" s="25" t="str">
        <x:v>KnowledgeResource</x:v>
      </x:c>
      <x:c r="C17" s="25" t="str">
        <x:v>FOB 条件</x:v>
      </x:c>
      <x:c r="D17" s="25" t="str">
        <x:v>FOB 下卖方在指定装运港将货物装上船即完成交付，买方承担运费、保险及其后风险；比价时必须补计相关成本。</x:v>
      </x:c>
      <x:c r="E17" s="25" t="str">
        <x:v># FOB 条件
## 学习目标
理解“FOB 条件”的核心含义、适用边界，并能在外贸谈判局面中作出有依据的行动。
## 理论精讲
FOB 下卖方在指定装运港将货物装上船即完成交付，买方承担运费、保险及其后风险；比价时必须补计相关成本。
## 专家组英文原文
Under Incoterms FOB, the seller delivers on board at the named port; the buyer bears freight, insurance, and subsequent risk. Price comparisons must add those costs.
## 训练迁移
在模拟训练中，先识别相关现象，再说明使用本知识或策略的理由，最后给出可执行的商务表达或处理步骤。</x:v>
      </x:c>
      <x:c r="F17" s="26" t="str">
        <x:v>published</x:v>
      </x:c>
    </x:row>
    <x:row r="18">
      <x:c r="A18" s="24" t="str">
        <x:v>K017</x:v>
      </x:c>
      <x:c r="B18" s="25" t="str">
        <x:v>KnowledgeResource</x:v>
      </x:c>
      <x:c r="C18" s="25" t="str">
        <x:v>CIF 条件</x:v>
      </x:c>
      <x:c r="D18" s="25" t="str">
        <x:v>CIF 下卖方支付至指定港的运费并投保最低保险，但风险仍在起运港装船时转移，这是常见争议点。</x:v>
      </x:c>
      <x:c r="E18" s="25" t="str">
        <x:v># CIF 条件
## 学习目标
理解“CIF 条件”的核心含义、适用边界，并能在外贸谈判局面中作出有依据的行动。
## 理论精讲
CIF 下卖方支付至指定港的运费并投保最低保险，但风险仍在起运港装船时转移，这是常见争议点。
## 专家组英文原文
Under Incoterms CIF, the seller pays carriage and minimum insurance to the named port. Risk still passes on board at origin — a frequent source of dispute.
## 训练迁移
在模拟训练中，先识别相关现象，再说明使用本知识或策略的理由，最后给出可执行的商务表达或处理步骤。</x:v>
      </x:c>
      <x:c r="F18" s="26" t="str">
        <x:v>published</x:v>
      </x:c>
    </x:row>
    <x:row r="19">
      <x:c r="A19" s="24" t="str">
        <x:v>K018</x:v>
      </x:c>
      <x:c r="B19" s="25" t="str">
        <x:v>NegotiationStrategy</x:v>
      </x:c>
      <x:c r="C19" s="25" t="str">
        <x:v>价格锚定策略</x:v>
      </x:c>
      <x:c r="D19" s="25" t="str">
        <x:v>首个数字会框定谈判区间；锚点应有可信成本依据，缺乏理由的极端锚定容易被忽视或导致谈判终止。</x:v>
      </x:c>
      <x:c r="E19" s="25" t="str">
        <x:v># 价格锚定策略
## 学习目标
理解“价格锚定策略”的核心含义、适用边界，并能在外贸谈判局面中作出有依据的行动。
## 理论精讲
首个数字会框定谈判区间；锚点应有可信成本依据，缺乏理由的极端锚定容易被忽视或导致谈判终止。
## 专家组英文原文
The first number frames the bargaining zone. Anchor high (or low) with a credible cost story; an extreme anchor without justification is discounted or ends talks.
## 训练迁移
在模拟训练中，先识别相关现象，再说明使用本知识或策略的理由，最后给出可执行的商务表达或处理步骤。</x:v>
      </x:c>
      <x:c r="F19" s="26" t="str">
        <x:v>published</x:v>
      </x:c>
    </x:row>
    <x:row r="20">
      <x:c r="A20" s="24" t="str">
        <x:v>K019</x:v>
      </x:c>
      <x:c r="B20" s="25" t="str">
        <x:v>KnowledgeResource</x:v>
      </x:c>
      <x:c r="C20" s="25" t="str">
        <x:v>发盘函结构</x:v>
      </x:c>
      <x:c r="D20" s="25" t="str">
        <x:v>完整发盘函应以可核对方式列明商品、规格、数量、单价、贸易术语、装运、付款、包装、有效期和单据。</x:v>
      </x:c>
      <x:c r="E20" s="25" t="str">
        <x:v># 发盘函结构
## 学习目标
理解“发盘函结构”的核心含义、适用边界，并能在外贸谈判局面中作出有依据的行动。
## 理论精讲
完整发盘函应以可核对方式列明商品、规格、数量、单价、贸易术语、装运、付款、包装、有效期和单据。
## 专家组英文原文
A complete offer letter covers goods, spec, quantity, unit price, Incoterm, shipment, payment, packing, validity, and documents — in a numbered, checkable layout.
## 训练迁移
在模拟训练中，先识别相关现象，再说明使用本知识或策略的理由，最后给出可执行的商务表达或处理步骤。</x:v>
      </x:c>
      <x:c r="F20" s="26" t="str">
        <x:v>published</x:v>
      </x:c>
    </x:row>
    <x:row r="21">
      <x:c r="A21" s="24" t="str">
        <x:v>K020</x:v>
      </x:c>
      <x:c r="B21" s="25" t="str">
        <x:v>KnowledgeResource</x:v>
      </x:c>
      <x:c r="C21" s="25" t="str">
        <x:v>发盘礼仪与跨文化差异</x:v>
      </x:c>
      <x:c r="D21" s="25" t="str">
        <x:v>不同市场对书面报价的确定性期待不同，应明确标注“实盘”或“参考价”，不能只依赖当地习惯。</x:v>
      </x:c>
      <x:c r="E21" s="25" t="str">
        <x:v># 发盘礼仪与跨文化差异
## 学习目标
理解“发盘礼仪与跨文化差异”的核心含义、适用边界，并能在外贸谈判局面中作出有依据的行动。
## 理论精讲
不同市场对书面报价的确定性期待不同，应明确标注“实盘”或“参考价”，不能只依赖当地习惯。
## 专家组英文原文
Some markets treat a written quote as nearly firm; others expect several rounds. State 'firm' vs 'for indication' explicitly rather than relying on local custom.
## 训练迁移
在模拟训练中，先识别相关现象，再说明使用本知识或策略的理由，最后给出可执行的商务表达或处理步骤。</x:v>
      </x:c>
      <x:c r="F21" s="26" t="str">
        <x:v>published</x:v>
      </x:c>
    </x:row>
    <x:row r="22">
      <x:c r="A22" s="24" t="str">
        <x:v>K021</x:v>
      </x:c>
      <x:c r="B22" s="25" t="str">
        <x:v>KnowledgeResource</x:v>
      </x:c>
      <x:c r="C22" s="25" t="str">
        <x:v>定价因素分析</x:v>
      </x:c>
      <x:c r="D22" s="25" t="str">
        <x:v>价格应由出厂成本、包装、内陆运输、海运、保险、关税、佣金、汇率和利润组成，遗漏任何一层都会造成错误报价。</x:v>
      </x:c>
      <x:c r="E22" s="25" t="str">
        <x:v># 定价因素分析
## 学习目标
理解“定价因素分析”的核心含义、适用边界，并能在外贸谈判局面中作出有依据的行动。
## 理论精讲
价格应由出厂成本、包装、内陆运输、海运、保险、关税、佣金、汇率和利润组成，遗漏任何一层都会造成错误报价。
## 专家组英文原文
Build price from EXW cost, packing, inland, freight, insurance, duties, commission, FX, and margin. Missing any layer produces a false FOB/CIF number.
## 训练迁移
在模拟训练中，先识别相关现象，再说明使用本知识或策略的理由，最后给出可执行的商务表达或处理步骤。</x:v>
      </x:c>
      <x:c r="F22" s="26" t="str">
        <x:v>published</x:v>
      </x:c>
    </x:row>
    <x:row r="23">
      <x:c r="A23" s="24" t="str">
        <x:v>K022</x:v>
      </x:c>
      <x:c r="B23" s="25" t="str">
        <x:v>KnowledgeResource</x:v>
      </x:c>
      <x:c r="C23" s="25" t="str">
        <x:v>发盘的撤回与修改</x:v>
      </x:c>
      <x:c r="D23" s="25" t="str">
        <x:v>撤销通知须在接受前到达受盘人；不可撤销发盘或明确有效期的实盘，在有效期内原则上不得撤销。</x:v>
      </x:c>
      <x:c r="E23" s="25" t="str">
        <x:v># 发盘的撤回与修改
## 学习目标
理解“发盘的撤回与修改”的核心含义、适用边界，并能在外贸谈判局面中作出有依据的行动。
## 理论精讲
撤销通知须在接受前到达受盘人；不可撤销发盘或明确有效期的实盘，在有效期内原则上不得撤销。
## 专家组英文原文
A revocation must reach the offeree before acceptance (CISG Art. 16). An irrevocable or firm-period offer cannot be withdrawn during its life except as the law allows.
## 训练迁移
在模拟训练中，先识别相关现象，再说明使用本知识或策略的理由，最后给出可执行的商务表达或处理步骤。</x:v>
      </x:c>
      <x:c r="F23" s="26" t="str">
        <x:v>published</x:v>
      </x:c>
    </x:row>
    <x:row r="24">
      <x:c r="A24" s="24" t="str">
        <x:v>K023</x:v>
      </x:c>
      <x:c r="B24" s="25" t="str">
        <x:v>KnowledgeResource</x:v>
      </x:c>
      <x:c r="C24" s="25" t="str">
        <x:v>附条件与限制性发盘</x:v>
      </x:c>
      <x:c r="D24" s="25" t="str">
        <x:v>“以先售为准”“以取得许可为准”等条件可限制承诺，但隐蔽或层层叠加会使其沦为试探性虚盘。</x:v>
      </x:c>
      <x:c r="E24" s="25" t="str">
        <x:v># 附条件与限制性发盘
## 学习目标
理解“附条件与限制性发盘”的核心含义、适用边界，并能在外贸谈判局面中作出有依据的行动。
## 理论精讲
“以先售为准”“以取得许可为准”等条件可限制承诺，但隐蔽或层层叠加会使其沦为试探性虚盘。
## 专家组英文原文
Conditions ('subject to prior sale', 'subject to licence') limit commitment. They are legitimate risk tools; undisclosed or stacked conditions are treated as fishing.
## 训练迁移
在模拟训练中，先识别相关现象，再说明使用本知识或策略的理由，最后给出可执行的商务表达或处理步骤。</x:v>
      </x:c>
      <x:c r="F24" s="26" t="str">
        <x:v>published</x:v>
      </x:c>
    </x:row>
    <x:row r="25">
      <x:c r="A25" s="24" t="str">
        <x:v>K024</x:v>
      </x:c>
      <x:c r="B25" s="25" t="str">
        <x:v>KnowledgeResource</x:v>
      </x:c>
      <x:c r="C25" s="25" t="str">
        <x:v>发盘风险管理</x:v>
      </x:c>
      <x:c r="D25" s="25" t="str">
        <x:v>发出实盘前应控制汇率、库存、有效期、贸易术语和信用风险；无限期实盘等于免费授予买方选择权。</x:v>
      </x:c>
      <x:c r="E25" s="25" t="str">
        <x:v># 发盘风险管理
## 学习目标
理解“发盘风险管理”的核心含义、适用边界，并能在外贸谈判局面中作出有依据的行动。
## 理论精讲
发出实盘前应控制汇率、库存、有效期、贸易术语和信用风险；无限期实盘等于免费授予买方选择权。
## 专家组英文原文
Control FX, stock, validity, Incoterm, and credit before issuing a firm offer. A firm offer with an open-ended validity is an unpriced option granted to the buyer.
## 训练迁移
在模拟训练中，先识别相关现象，再说明使用本知识或策略的理由，最后给出可执行的商务表达或处理步骤。</x:v>
      </x:c>
      <x:c r="F25" s="26" t="str">
        <x:v>published</x:v>
      </x:c>
    </x:row>
    <x:row r="26">
      <x:c r="A26" s="24" t="str">
        <x:v>K025</x:v>
      </x:c>
      <x:c r="B26" s="25" t="str">
        <x:v>NegotiationStrategy</x:v>
      </x:c>
      <x:c r="C26" s="25" t="str">
        <x:v>发盘谈判与心理策略</x:v>
      </x:c>
      <x:c r="D26" s="25" t="str">
        <x:v>结合锚定、组合报价和理由说明，识别对方 BATNA；面对极端首价，不应在没有新方案时简单折中。</x:v>
      </x:c>
      <x:c r="E26" s="25" t="str">
        <x:v># 发盘谈判与心理策略
## 学习目标
理解“发盘谈判与心理策略”的核心含义、适用边界，并能在外贸谈判局面中作出有依据的行动。
## 理论精讲
结合锚定、组合报价和理由说明，识别对方 BATNA；面对极端首价，不应在没有新方案时简单折中。
## 专家组英文原文
Combine anchoring, bundling, and justification. Read the counterpart’s BATNA; do not split the difference from an extreme first number without a new package.
## 训练迁移
在模拟训练中，先识别相关现象，再说明使用本知识或策略的理由，最后给出可执行的商务表达或处理步骤。</x:v>
      </x:c>
      <x:c r="F26" s="26" t="str">
        <x:v>published</x:v>
      </x:c>
    </x:row>
    <x:row r="27">
      <x:c r="A27" s="24" t="str">
        <x:v>K026</x:v>
      </x:c>
      <x:c r="B27" s="25" t="str">
        <x:v>KnowledgeResource</x:v>
      </x:c>
      <x:c r="C27" s="25" t="str">
        <x:v>还盘的法律性质与解释</x:v>
      </x:c>
      <x:c r="D27" s="25" t="str">
        <x:v>对主要条款的变更构成拒绝原发盘并提出新发盘；依 CISG 第19条，原发盘通常因此失效。</x:v>
      </x:c>
      <x:c r="E27" s="25" t="str">
        <x:v># 还盘的法律性质与解释
## 学习目标
理解“还盘的法律性质与解释”的核心含义、适用边界，并能在外贸谈判局面中作出有依据的行动。
## 理论精讲
对主要条款的变更构成拒绝原发盘并提出新发盘；依 CISG 第19条，原发盘通常因此失效。
## 专家组英文原文
A material alteration is a rejection plus a new offer (CISG Art. 19). The original offer dies unless the offeror promptly objects to the discrepancy.
## 训练迁移
在模拟训练中，先识别相关现象，再说明使用本知识或策略的理由，最后给出可执行的商务表达或处理步骤。</x:v>
      </x:c>
      <x:c r="F27" s="26" t="str">
        <x:v>published</x:v>
      </x:c>
    </x:row>
    <x:row r="28">
      <x:c r="A28" s="24" t="str">
        <x:v>K027</x:v>
      </x:c>
      <x:c r="B28" s="25" t="str">
        <x:v>KnowledgeResource</x:v>
      </x:c>
      <x:c r="C28" s="25" t="str">
        <x:v>还盘后的权利义务转移</x:v>
      </x:c>
      <x:c r="D28" s="25" t="str">
        <x:v>提出还盘后，原受盘人成为新的发盘人，承诺权随之转移，原发盘不能再以“接受”方式恢复。</x:v>
      </x:c>
      <x:c r="E28" s="25" t="str">
        <x:v># 还盘后的权利义务转移
## 学习目标
理解“还盘后的权利义务转移”的核心含义、适用边界，并能在外贸谈判局面中作出有依据的行动。
## 理论精讲
提出还盘后，原受盘人成为新的发盘人，承诺权随之转移，原发盘不能再以“接受”方式恢复。
## 专家组英文原文
Once a counter-offer is made, the original offeree becomes the new offeror. The power of acceptance moves; the first offer cannot be revived by later 'acceptance'.
## 训练迁移
在模拟训练中，先识别相关现象，再说明使用本知识或策略的理由，最后给出可执行的商务表达或处理步骤。</x:v>
      </x:c>
      <x:c r="F28" s="26" t="str">
        <x:v>published</x:v>
      </x:c>
    </x:row>
    <x:row r="29">
      <x:c r="A29" s="24" t="str">
        <x:v>K028</x:v>
      </x:c>
      <x:c r="B29" s="25" t="str">
        <x:v>KnowledgeResource</x:v>
      </x:c>
      <x:c r="C29" s="25" t="str">
        <x:v>还盘流程逻辑</x:v>
      </x:c>
      <x:c r="D29" s="25" t="str">
        <x:v>还盘应区分底线与可交易项，每次调整一组条款，并书面记录仍然有效的条件。</x:v>
      </x:c>
      <x:c r="E29" s="25" t="str">
        <x:v># 还盘流程逻辑
## 学习目标
理解“还盘流程逻辑”的核心含义、适用边界，并能在外贸谈判局面中作出有依据的行动。
## 理论精讲
还盘应区分底线与可交易项，每次调整一组条款，并书面记录仍然有效的条件。
## 专家组英文原文
Counter-offering is a controlled sequence: identify must-haves vs tradables, vary one cluster at a time, and keep a written trail of what is still on the table.
## 训练迁移
在模拟训练中，先识别相关现象，再说明使用本知识或策略的理由，最后给出可执行的商务表达或处理步骤。</x:v>
      </x:c>
      <x:c r="F29" s="26" t="str">
        <x:v>published</x:v>
      </x:c>
    </x:row>
    <x:row r="30">
      <x:c r="A30" s="24" t="str">
        <x:v>K029</x:v>
      </x:c>
      <x:c r="B30" s="25" t="str">
        <x:v>NegotiationStrategy</x:v>
      </x:c>
      <x:c r="C30" s="25" t="str">
        <x:v>以退为进策略</x:v>
      </x:c>
      <x:c r="D30" s="25" t="str">
        <x:v>在低成本但可见的事项上让步，以换取价格、付款或交期等高价值事项，并明确“让步以交换为条件”。</x:v>
      </x:c>
      <x:c r="E30" s="25" t="str">
        <x:v># 以退为进策略
## 学习目标
理解“以退为进策略”的核心含义、适用边界，并能在外贸谈判局面中作出有依据的行动。
## 理论精讲
在低成本但可见的事项上让步，以换取价格、付款或交期等高价值事项，并明确“让步以交换为条件”。
## 专家组英文原文
Concede a visible but low-cost point in order to take a higher-value point (price, payment, or lead time). The retreat must be framed as conditional on the advance.
## 训练迁移
在模拟训练中，先识别相关现象，再说明使用本知识或策略的理由，最后给出可执行的商务表达或处理步骤。</x:v>
      </x:c>
      <x:c r="F30" s="26" t="str">
        <x:v>published</x:v>
      </x:c>
    </x:row>
    <x:row r="31">
      <x:c r="A31" s="24" t="str">
        <x:v>K030</x:v>
      </x:c>
      <x:c r="B31" s="25" t="str">
        <x:v>NegotiationStrategy</x:v>
      </x:c>
      <x:c r="C31" s="25" t="str">
        <x:v>互惠让步策略</x:v>
      </x:c>
      <x:c r="D31" s="25" t="str">
        <x:v>每次让步都应配套提出价值相当的交换要求，使对方理解双方移动必须是双向的。</x:v>
      </x:c>
      <x:c r="E31" s="25" t="str">
        <x:v># 互惠让步策略
## 学习目标
理解“互惠让步策略”的核心含义、适用边界，并能在外贸谈判局面中作出有依据的行动。
## 理论精讲
每次让步都应配套提出价值相当的交换要求，使对方理解双方移动必须是双向的。
## 专家组英文原文
Never concede in a vacuum. Pair every move with a request of comparable weight so the counterpart learns that movement is two-way.
## 训练迁移
在模拟训练中，先识别相关现象，再说明使用本知识或策略的理由，最后给出可执行的商务表达或处理步骤。</x:v>
      </x:c>
      <x:c r="F31" s="26" t="str">
        <x:v>published</x:v>
      </x:c>
    </x:row>
    <x:row r="32">
      <x:c r="A32" s="24" t="str">
        <x:v>K031</x:v>
      </x:c>
      <x:c r="B32" s="25" t="str">
        <x:v>NegotiationStrategy</x:v>
      </x:c>
      <x:c r="C32" s="25" t="str">
        <x:v>四阶段让步策略</x:v>
      </x:c>
      <x:c r="D32" s="25" t="str">
        <x:v>典型节奏为坚持、少量让步、更小让步、最后微小让步；递减幅度用于传递真实底线。</x:v>
      </x:c>
      <x:c r="E32" s="25" t="str">
        <x:v># 四阶段让步策略
## 学习目标
理解“四阶段让步策略”的核心含义、适用边界，并能在外贸谈判局面中作出有依据的行动。
## 理论精讲
典型节奏为坚持、少量让步、更小让步、最后微小让步；递减幅度用于传递真实底线。
## 专家组英文原文
A classic pattern: (1) hold, (2) small move, (3) smaller move, (4) final small move that signals the floor. Decreasing steps communicate a real reservation price.
## 训练迁移
在模拟训练中，先识别相关现象，再说明使用本知识或策略的理由，最后给出可执行的商务表达或处理步骤。</x:v>
      </x:c>
      <x:c r="F32" s="26" t="str">
        <x:v>published</x:v>
      </x:c>
    </x:row>
    <x:row r="33">
      <x:c r="A33" s="24" t="str">
        <x:v>K032</x:v>
      </x:c>
      <x:c r="B33" s="25" t="str">
        <x:v>KnowledgeResource</x:v>
      </x:c>
      <x:c r="C33" s="25" t="str">
        <x:v>还盘函结构、语言与礼仪</x:v>
      </x:c>
      <x:c r="D33" s="25" t="str">
        <x:v>先致谢并重申共识，再列表提出修改、说明理由并设定回复期限；高语境环境中避免生硬宣告“拒绝”。</x:v>
      </x:c>
      <x:c r="E33" s="25" t="str">
        <x:v># 还盘函结构、语言与礼仪
## 学习目标
理解“还盘函结构、语言与礼仪”的核心含义、适用边界，并能在外贸谈判局面中作出有依据的行动。
## 理论精讲
先致谢并重申共识，再列表提出修改、说明理由并设定回复期限；高语境环境中避免生硬宣告“拒绝”。
## 专家组英文原文
Thank, restate common ground, list proposed changes in a table, give reasons, and set a reply-by date. Avoid 'we reject your offer' in high-context settings.
## 训练迁移
在模拟训练中，先识别相关现象，再说明使用本知识或策略的理由，最后给出可执行的商务表达或处理步骤。</x:v>
      </x:c>
      <x:c r="F33" s="26" t="str">
        <x:v>published</x:v>
      </x:c>
    </x:row>
    <x:row r="34">
      <x:c r="A34" s="24" t="str">
        <x:v>K033</x:v>
      </x:c>
      <x:c r="B34" s="25" t="str">
        <x:v>KnowledgeResource</x:v>
      </x:c>
      <x:c r="C34" s="25" t="str">
        <x:v>还盘风险控制</x:v>
      </x:c>
      <x:c r="D34" s="25" t="str">
        <x:v>持续跟踪当前有效发盘并给每次修订标注日期，不得依据已被后续还盘消灭的版本履约、装运或收款。</x:v>
      </x:c>
      <x:c r="E34" s="25" t="str">
        <x:v># 还盘风险控制
## 学习目标
理解“还盘风险控制”的核心含义、适用边界，并能在外贸谈判局面中作出有依据的行动。
## 理论精讲
持续跟踪当前有效发盘并给每次修订标注日期，不得依据已被后续还盘消灭的版本履约、装运或收款。
## 专家组英文原文
Track which offer is live. Date every revision. Do not perform, ship, or take payment against a version that has been legally killed by a later counter-offer.
## 训练迁移
在模拟训练中，先识别相关现象，再说明使用本知识或策略的理由，最后给出可执行的商务表达或处理步骤。</x:v>
      </x:c>
      <x:c r="F34" s="26" t="str">
        <x:v>published</x:v>
      </x:c>
    </x:row>
    <x:row r="35">
      <x:c r="A35" s="24" t="str">
        <x:v>K034</x:v>
      </x:c>
      <x:c r="B35" s="25" t="str">
        <x:v>KnowledgeResource</x:v>
      </x:c>
      <x:c r="C35" s="25" t="str">
        <x:v>还盘、沉默与默示接受</x:v>
      </x:c>
      <x:c r="D35" s="25" t="str">
        <x:v>沉默原则上不构成接受，但交易习惯、既往做法或发盘另有约定时可能例外；装运、付款或收货等行为可构成接受。</x:v>
      </x:c>
      <x:c r="E35" s="25" t="str">
        <x:v># 还盘、沉默与默示接受
## 学习目标
理解“还盘、沉默与默示接受”的核心含义、适用边界，并能在外贸谈判局面中作出有依据的行动。
## 理论精讲
沉默原则上不构成接受，但交易习惯、既往做法或发盘另有约定时可能例外；装运、付款或收货等行为可构成接受。
## 专家组英文原文
Silence is not acceptance (CISG Art. 18) except where usage, course of dealing, or the offer itself so provides. Conduct (shipping, paying, taking goods) can be.
## 训练迁移
在模拟训练中，先识别相关现象，再说明使用本知识或策略的理由，最后给出可执行的商务表达或处理步骤。</x:v>
      </x:c>
      <x:c r="F35" s="26" t="str">
        <x:v>published</x:v>
      </x:c>
    </x:row>
    <x:row r="36">
      <x:c r="A36" s="24" t="str">
        <x:v>K035</x:v>
      </x:c>
      <x:c r="B36" s="25" t="str">
        <x:v>NegotiationStrategy</x:v>
      </x:c>
      <x:c r="C36" s="25" t="str">
        <x:v>还盘机会评估</x:v>
      </x:c>
      <x:c r="D36" s="25" t="str">
        <x:v>价差可弥合、时间充足且己方 BATNA 可接受时适合还盘；对方底线已清晰时应考虑接受或退出。</x:v>
      </x:c>
      <x:c r="E36" s="25" t="str">
        <x:v># 还盘机会评估
## 学习目标
理解“还盘机会评估”的核心含义、适用边界，并能在外贸谈判局面中作出有依据的行动。
## 理论精讲
价差可弥合、时间充足且己方 BATNA 可接受时适合还盘；对方底线已清晰时应考虑接受或退出。
## 专家组英文原文
Counter-offer when the gap is bridgeable, time remains, and your BATNA is acceptable. Walk or accept when the counterpart’s reservation is already visible.
## 训练迁移
在模拟训练中，先识别相关现象，再说明使用本知识或策略的理由，最后给出可执行的商务表达或处理步骤。</x:v>
      </x:c>
      <x:c r="F36" s="26" t="str">
        <x:v>published</x:v>
      </x:c>
    </x:row>
    <x:row r="37">
      <x:c r="A37" s="24" t="str">
        <x:v>K036</x:v>
      </x:c>
      <x:c r="B37" s="25" t="str">
        <x:v>NegotiationStrategy</x:v>
      </x:c>
      <x:c r="C37" s="25" t="str">
        <x:v>还盘心理与保全面子策略</x:v>
      </x:c>
      <x:c r="D37" s="25" t="str">
        <x:v>通过新信息、组合方案或第三方约束给对方体面移动的理由，避免公开、二元式拒绝引发身份威胁和僵局。</x:v>
      </x:c>
      <x:c r="E37" s="25" t="str">
        <x:v># 还盘心理与保全面子策略
## 学习目标
理解“还盘心理与保全面子策略”的核心含义、适用边界，并能在外贸谈判局面中作出有依据的行动。
## 理论精讲
通过新信息、组合方案或第三方约束给对方体面移动的理由，避免公开、二元式拒绝引发身份威胁和僵局。
## 专家组英文原文
Give the counterpart a dignified way to move (new information, a package, a third-party constraint). Public, binary refusals trigger identity threat and deadlock.
## 训练迁移
在模拟训练中，先识别相关现象，再说明使用本知识或策略的理由，最后给出可执行的商务表达或处理步骤。</x:v>
      </x:c>
      <x:c r="F37" s="26" t="str">
        <x:v>published</x:v>
      </x:c>
    </x:row>
    <x:row r="38">
      <x:c r="A38" s="24" t="str">
        <x:v>K037</x:v>
      </x:c>
      <x:c r="B38" s="25" t="str">
        <x:v>NegotiationStrategy</x:v>
      </x:c>
      <x:c r="C38" s="25" t="str">
        <x:v>还盘僵局处理</x:v>
      </x:c>
      <x:c r="D38" s="25" t="str">
        <x:v>出现循环时应更换付款、数量、有效期或附加服务等方案包，而非只磨同一价格；必要时设置冷静期或引入调解。</x:v>
      </x:c>
      <x:c r="E38" s="25" t="str">
        <x:v># 还盘僵局处理
## 学习目标
理解“还盘僵局处理”的核心含义、适用边界，并能在外贸谈判局面中作出有依据的行动。
## 理论精讲
出现循环时应更换付款、数量、有效期或附加服务等方案包，而非只磨同一价格；必要时设置冷静期或引入调解。
## 专家组英文原文
When looping, change the package (payment, volume, validity, extras) rather than grinding the same price. A cooling-off date or a mediator can reset the frame.
## 训练迁移
在模拟训练中，先识别相关现象，再说明使用本知识或策略的理由，最后给出可执行的商务表达或处理步骤。</x:v>
      </x:c>
      <x:c r="F38" s="26" t="str">
        <x:v>published</x:v>
      </x:c>
    </x:row>
    <x:row r="39">
      <x:c r="A39" s="24" t="str">
        <x:v>K038</x:v>
      </x:c>
      <x:c r="B39" s="25" t="str">
        <x:v>NegotiationStrategy</x:v>
      </x:c>
      <x:c r="C39" s="25" t="str">
        <x:v>还盘后的磋商技巧</x:v>
      </x:c>
      <x:c r="D39" s="25" t="str">
        <x:v>首次还盘后应按方案包谈判，运用“如果—那么”交换并记录每次移动；重开已关闭事项必须附带新让步。</x:v>
      </x:c>
      <x:c r="E39" s="25" t="str">
        <x:v># 还盘后的磋商技巧
## 学习目标
理解“还盘后的磋商技巧”的核心含义、适用边界，并能在外贸谈判局面中作出有依据的行动。
## 理论精讲
首次还盘后应按方案包谈判，运用“如果—那么”交换并记录每次移动；重开已关闭事项必须附带新让步。
## 专家组英文原文
After the first counter, bargain in packages, use if-then trades, and log each move. Do not reopen closed items without a new concession attached.
## 训练迁移
在模拟训练中，先识别相关现象，再说明使用本知识或策略的理由，最后给出可执行的商务表达或处理步骤。</x:v>
      </x:c>
      <x:c r="F39" s="26" t="str">
        <x:v>published</x:v>
      </x:c>
    </x:row>
    <x:row r="40">
      <x:c r="A40" s="24" t="str">
        <x:v>K039</x:v>
      </x:c>
      <x:c r="B40" s="25" t="str">
        <x:v>KnowledgeResource</x:v>
      </x:c>
      <x:c r="C40" s="25" t="str">
        <x:v>接受的定义</x:v>
      </x:c>
      <x:c r="D40" s="25" t="str">
        <x:v>接受是以声明或其他行为表示同意发盘；对主要条款必须无条件一致，方能形成合同。</x:v>
      </x:c>
      <x:c r="E40" s="25" t="str">
        <x:v># 接受的定义
## 学习目标
理解“接受的定义”的核心含义、适用边界，并能在外贸谈判局面中作出有依据的行动。
## 理论精讲
接受是以声明或其他行为表示同意发盘；对主要条款必须无条件一致，方能形成合同。
## 专家组英文原文
Acceptance is a statement or other conduct indicating assent to an offer. It must be unconditional as to material terms to form a contract.
## 训练迁移
在模拟训练中，先识别相关现象，再说明使用本知识或策略的理由，最后给出可执行的商务表达或处理步骤。</x:v>
      </x:c>
      <x:c r="F40" s="26" t="str">
        <x:v>published</x:v>
      </x:c>
    </x:row>
    <x:row r="41">
      <x:c r="A41" s="24" t="str">
        <x:v>K040</x:v>
      </x:c>
      <x:c r="B41" s="25" t="str">
        <x:v>KnowledgeResource</x:v>
      </x:c>
      <x:c r="C41" s="25" t="str">
        <x:v>有效接受的构成要件</x:v>
      </x:c>
      <x:c r="D41" s="25" t="str">
        <x:v>接受应由受盘人在期限内以约定或合理方式作出，与发盘一致，并依 CISG 第18条在到达发盘人时生效。</x:v>
      </x:c>
      <x:c r="E41" s="25" t="str">
        <x:v># 有效接受的构成要件
## 学习目标
理解“有效接受的构成要件”的核心含义、适用边界，并能在外贸谈判局面中作出有依据的行动。
## 理论精讲
接受应由受盘人在期限内以约定或合理方式作出，与发盘一致，并依 CISG 第18条在到达发盘人时生效。
## 专家组英文原文
Assent must match the offer, be made by the offeree, within time, by a reasonable (or prescribed) medium, and become effective when it reaches the offeror (CISG Art. 18).
## 训练迁移
在模拟训练中，先识别相关现象，再说明使用本知识或策略的理由，最后给出可执行的商务表达或处理步骤。</x:v>
      </x:c>
      <x:c r="F41" s="26" t="str">
        <x:v>published</x:v>
      </x:c>
    </x:row>
    <x:row r="42">
      <x:c r="A42" s="24" t="str">
        <x:v>K041</x:v>
      </x:c>
      <x:c r="B42" s="25" t="str">
        <x:v>KnowledgeResource</x:v>
      </x:c>
      <x:c r="C42" s="25" t="str">
        <x:v>接受与还盘的区分</x:v>
      </x:c>
      <x:c r="D42" s="25" t="str">
        <x:v>增加或改变主要条款的回复属于还盘而非接受；非实质性补充可能仍形成合同，除非发盘人及时反对。</x:v>
      </x:c>
      <x:c r="E42" s="25" t="str">
        <x:v># 接受与还盘的区分
## 学习目标
理解“接受与还盘的区分”的核心含义、适用边界，并能在外贸谈判局面中作出有依据的行动。
## 理论精讲
增加或改变主要条款的回复属于还盘而非接受；非实质性补充可能仍形成合同，除非发盘人及时反对。
## 专家组英文原文
A reply that adds or alters material terms is a counter-offer, not an acceptance. Immaterial additions may still form a contract unless the offeror objects without delay.
## 训练迁移
在模拟训练中，先识别相关现象，再说明使用本知识或策略的理由，最后给出可执行的商务表达或处理步骤。</x:v>
      </x:c>
      <x:c r="F42" s="26" t="str">
        <x:v>published</x:v>
      </x:c>
    </x:row>
    <x:row r="43">
      <x:c r="A43" s="24" t="str">
        <x:v>K042</x:v>
      </x:c>
      <x:c r="B43" s="25" t="str">
        <x:v>KnowledgeResource</x:v>
      </x:c>
      <x:c r="C43" s="25" t="str">
        <x:v>逾期接受</x:v>
      </x:c>
      <x:c r="D43" s="25" t="str">
        <x:v>逾期接受通常构成新发盘；依 CISG 第21条，原发盘人及时确认其有效，或迟延明显源于传递故障时可能例外。</x:v>
      </x:c>
      <x:c r="E43" s="25" t="str">
        <x:v># 逾期接受
## 学习目标
理解“逾期接受”的核心含义、适用边界，并能在外贸谈判局面中作出有依据的行动。
## 理论精讲
逾期接受通常构成新发盘；依 CISG 第21条，原发盘人及时确认其有效，或迟延明显源于传递故障时可能例外。
## 专家组英文原文
A late acceptance is a new offer, unless the original offeror promptly informs the acceptor that it is treated as effective (CISG Art. 21), or the delay is visible as a transmission fault.
## 训练迁移
在模拟训练中，先识别相关现象，再说明使用本知识或策略的理由，最后给出可执行的商务表达或处理步骤。</x:v>
      </x:c>
      <x:c r="F43" s="26" t="str">
        <x:v>published</x:v>
      </x:c>
    </x:row>
    <x:row r="44">
      <x:c r="A44" s="24" t="str">
        <x:v>K043</x:v>
      </x:c>
      <x:c r="B44" s="25" t="str">
        <x:v>KnowledgeResource</x:v>
      </x:c>
      <x:c r="C44" s="25" t="str">
        <x:v>订货流程与确认</x:v>
      </x:c>
      <x:c r="D44" s="25" t="str">
        <x:v>合同成立后应发出采购订单或销售确认书，重述一致条款并要求签回，使双方持有相同记录。</x:v>
      </x:c>
      <x:c r="E44" s="25" t="str">
        <x:v># 订货流程与确认
## 学习目标
理解“订货流程与确认”的核心含义、适用边界，并能在外贸谈判局面中作出有依据的行动。
## 理论精讲
合同成立后应发出采购订单或销售确认书，重述一致条款并要求签回，使双方持有相同记录。
## 专家组英文原文
After formation, issue a purchase order / sales confirmation that restates the matched terms, and require a signed return so both sides hold the same record.
## 训练迁移
在模拟训练中，先识别相关现象，再说明使用本知识或策略的理由，最后给出可执行的商务表达或处理步骤。</x:v>
      </x:c>
      <x:c r="F44" s="26" t="str">
        <x:v>published</x:v>
      </x:c>
    </x:row>
    <x:row r="45">
      <x:c r="A45" s="24" t="str">
        <x:v>K044</x:v>
      </x:c>
      <x:c r="B45" s="25" t="str">
        <x:v>KnowledgeResource</x:v>
      </x:c>
      <x:c r="C45" s="25" t="str">
        <x:v>订单变更、修改与取消</x:v>
      </x:c>
      <x:c r="D45" s="25" t="str">
        <x:v>依 CISG 第29条，合同修改需双方同意；成立后取消通常构成违约，除非约定取消窗口、适用免责或双方解除。</x:v>
      </x:c>
      <x:c r="E45" s="25" t="str">
        <x:v># 订单变更、修改与取消
## 学习目标
理解“订单变更、修改与取消”的核心含义、适用边界，并能在外贸谈判局面中作出有依据的行动。
## 理论精讲
依 CISG 第29条，合同修改需双方同意；成立后取消通常构成违约，除非约定取消窗口、适用免责或双方解除。
## 专家组英文原文
Modifications need agreement (CISG Art. 29). Cancellations after formation are a breach unless a cancellation window, exemption, or mutual release applies.
## 训练迁移
在模拟训练中，先识别相关现象，再说明使用本知识或策略的理由，最后给出可执行的商务表达或处理步骤。</x:v>
      </x:c>
      <x:c r="F45" s="26" t="str">
        <x:v>published</x:v>
      </x:c>
    </x:row>
    <x:row r="46">
      <x:c r="A46" s="24" t="str">
        <x:v>K045</x:v>
      </x:c>
      <x:c r="B46" s="25" t="str">
        <x:v>KnowledgeResource</x:v>
      </x:c>
      <x:c r="C46" s="25" t="str">
        <x:v>接受与订货的跨文化差异</x:v>
      </x:c>
      <x:c r="D46" s="25" t="str">
        <x:v>某些文化中的口头“同意”仅表示关系性回应，并非合同承诺；应坚持书面接受，不把礼貌或沉默当作成立。</x:v>
      </x:c>
      <x:c r="E46" s="25" t="str">
        <x:v># 接受与订货的跨文化差异
## 学习目标
理解“接受与订货的跨文化差异”的核心含义、适用边界，并能在外贸谈判局面中作出有依据的行动。
## 理论精讲
某些文化中的口头“同意”仅表示关系性回应，并非合同承诺；应坚持书面接受，不把礼貌或沉默当作成立。
## 专家组英文原文
In some cultures a verbal 'yes' is relational, not contractual. Insist on a written acceptance and do not treat hospitality or silence as formation.
## 训练迁移
在模拟训练中，先识别相关现象，再说明使用本知识或策略的理由，最后给出可执行的商务表达或处理步骤。</x:v>
      </x:c>
      <x:c r="F46" s="26" t="str">
        <x:v>published</x:v>
      </x:c>
    </x:row>
    <x:row r="47">
      <x:c r="A47" s="24" t="str">
        <x:v>K046</x:v>
      </x:c>
      <x:c r="B47" s="25" t="str">
        <x:v>KnowledgeResource</x:v>
      </x:c>
      <x:c r="C47" s="25" t="str">
        <x:v>接受通知的方式、效力与撤回</x:v>
      </x:c>
      <x:c r="D47" s="25" t="str">
        <x:v>接受可通过信函、邮件、EDI 或行为作出；撤回通知只有在接受之前或同时到达发盘人时才有效。</x:v>
      </x:c>
      <x:c r="E47" s="25" t="str">
        <x:v># 接受通知的方式、效力与撤回
## 学习目标
理解“接受通知的方式、效力与撤回”的核心含义、适用边界，并能在外贸谈判局面中作出有依据的行动。
## 理论精讲
接受可通过信函、邮件、EDI 或行为作出；撤回通知只有在接受之前或同时到达发盘人时才有效。
## 专家组英文原文
Acceptance may be by letter, email, EDI, or conduct. It can be withdrawn only if the withdrawal reaches the offeror before or at the same time as the acceptance.
## 训练迁移
在模拟训练中，先识别相关现象，再说明使用本知识或策略的理由，最后给出可执行的商务表达或处理步骤。</x:v>
      </x:c>
      <x:c r="F47" s="26" t="str">
        <x:v>published</x:v>
      </x:c>
    </x:row>
    <x:row r="48">
      <x:c r="A48" s="24" t="str">
        <x:v>K047</x:v>
      </x:c>
      <x:c r="B48" s="25" t="str">
        <x:v>KnowledgeResource</x:v>
      </x:c>
      <x:c r="C48" s="25" t="str">
        <x:v>买卖合同的成立与条款</x:v>
      </x:c>
      <x:c r="D48" s="25" t="str">
        <x:v>合同由相互一致的发盘与接受及纳入的一般条件构成，核心包括货物、数量、价格或定价方法、交付与付款。</x:v>
      </x:c>
      <x:c r="E48" s="25" t="str">
        <x:v># 买卖合同的成立与条款
## 学习目标
理解“买卖合同的成立与条款”的核心含义、适用边界，并能在外贸谈判局面中作出有依据的行动。
## 理论精讲
合同由相互一致的发盘与接受及纳入的一般条件构成，核心包括货物、数量、价格或定价方法、交付与付款。
## 专家组英文原文
The contract is the matching offer + acceptance, plus incorporated general conditions. Essential terms: goods, quantity, price or a way to determine it, delivery, payment.
## 训练迁移
在模拟训练中，先识别相关现象，再说明使用本知识或策略的理由，最后给出可执行的商务表达或处理步骤。</x:v>
      </x:c>
      <x:c r="F48" s="26" t="str">
        <x:v>published</x:v>
      </x:c>
    </x:row>
    <x:row r="49">
      <x:c r="A49" s="24" t="str">
        <x:v>K048</x:v>
      </x:c>
      <x:c r="B49" s="25" t="str">
        <x:v>KnowledgeResource</x:v>
      </x:c>
      <x:c r="C49" s="25" t="str">
        <x:v>订单执行与履约监控</x:v>
      </x:c>
      <x:c r="D49" s="25" t="str">
        <x:v>建立履约档案，跟踪生产里程碑、检验窗口、单证截止时间并明确负责人，尽早发现进度偏差。</x:v>
      </x:c>
      <x:c r="E49" s="25" t="str">
        <x:v># 订单执行与履约监控
## 学习目标
理解“订单执行与履约监控”的核心含义、适用边界，并能在外贸谈判局面中作出有依据的行动。
## 理论精讲
建立履约档案，跟踪生产里程碑、检验窗口、单证截止时间并明确负责人，尽早发现进度偏差。
## 专家组英文原文
Run a performance file: production milestones, inspection windows, document cut-offs, and a named owner. Drift is cheaper to catch in week two than at the port.
## 训练迁移
在模拟训练中，先识别相关现象，再说明使用本知识或策略的理由，最后给出可执行的商务表达或处理步骤。</x:v>
      </x:c>
      <x:c r="F49" s="26" t="str">
        <x:v>published</x:v>
      </x:c>
    </x:row>
    <x:row r="50">
      <x:c r="A50" s="24" t="str">
        <x:v>K049</x:v>
      </x:c>
      <x:c r="B50" s="25" t="str">
        <x:v>KnowledgeResource</x:v>
      </x:c>
      <x:c r="C50" s="25" t="str">
        <x:v>订单交付日期跟踪</x:v>
      </x:c>
      <x:c r="D50" s="25" t="str">
        <x:v>把合同装运窗口倒排为生产、包装、截关和单证计划；一旦滑期立即升级处理，迟延通知本身也可能违约。</x:v>
      </x:c>
      <x:c r="E50" s="25" t="str">
        <x:v># 订单交付日期跟踪
## 学习目标
理解“订单交付日期跟踪”的核心含义、适用边界，并能在外贸谈判局面中作出有依据的行动。
## 理论精讲
把合同装运窗口倒排为生产、包装、截关和单证计划；一旦滑期立即升级处理，迟延通知本身也可能违约。
## 专家组英文原文
Convert the contractual ship window into a backward schedule (production, packing, cut-off, docs). Escalate slip immediately; late notice itself can be a breach.
## 训练迁移
在模拟训练中，先识别相关现象，再说明使用本知识或策略的理由，最后给出可执行的商务表达或处理步骤。</x:v>
      </x:c>
      <x:c r="F50" s="26" t="str">
        <x:v>published</x:v>
      </x:c>
    </x:row>
    <x:row r="51">
      <x:c r="A51" s="24" t="str">
        <x:v>K050</x:v>
      </x:c>
      <x:c r="B51" s="25" t="str">
        <x:v>KnowledgeResource</x:v>
      </x:c>
      <x:c r="C51" s="25" t="str">
        <x:v>合同免责条款</x:v>
      </x:c>
      <x:c r="D51" s="25" t="str">
        <x:v>免责、责任限制和不可抗力条款分配阻碍履约的事件，必须明确并有效纳入合同，且不得排除强制法。</x:v>
      </x:c>
      <x:c r="E51" s="25" t="str">
        <x:v># 合同免责条款
## 学习目标
理解“合同免责条款”的核心含义、适用边界，并能在外贸谈判局面中作出有依据的行动。
## 理论精讲
免责、责任限制和不可抗力条款分配阻碍履约的事件，必须明确并有效纳入合同，且不得排除强制法。
## 专家组英文原文
Exemption, limitation, and force-majeure clauses allocate events that prevent performance. They must be clear, incorporated, and not override mandatory law.
## 训练迁移
在模拟训练中，先识别相关现象，再说明使用本知识或策略的理由，最后给出可执行的商务表达或处理步骤。</x:v>
      </x:c>
      <x:c r="F51" s="26" t="str">
        <x:v>published</x:v>
      </x:c>
    </x:row>
    <x:row r="52">
      <x:c r="A52" s="24" t="str">
        <x:v>K051</x:v>
      </x:c>
      <x:c r="B52" s="25" t="str">
        <x:v>KnowledgeResource</x:v>
      </x:c>
      <x:c r="C52" s="25" t="str">
        <x:v>质量保证与售后服务</x:v>
      </x:c>
      <x:c r="D52" s="25" t="str">
        <x:v>在订单中明确质量保证、保修、备件和售后响应时间，使发货后投诉有清晰的合同依据。</x:v>
      </x:c>
      <x:c r="E52" s="25" t="str">
        <x:v># 质量保证与售后服务
## 学习目标
理解“质量保证与售后服务”的核心含义、适用边界，并能在外贸谈判局面中作出有依据的行动。
## 理论精讲
在订单中明确质量保证、保修、备件和售后响应时间，使发货后投诉有清晰的合同依据。
## 专家组英文原文
Write QA, warranty, spare-parts, and after-sales response times into the order so post-shipment complaints have a contractual home rather than a free-floating dispute.
## 训练迁移
在模拟训练中，先识别相关现象，再说明使用本知识或策略的理由，最后给出可执行的商务表达或处理步骤。</x:v>
      </x:c>
      <x:c r="F52" s="26" t="str">
        <x:v>published</x:v>
      </x:c>
    </x:row>
    <x:row r="53">
      <x:c r="A53" s="24" t="str">
        <x:v>K052</x:v>
      </x:c>
      <x:c r="B53" s="25" t="str">
        <x:v>KnowledgeResource</x:v>
      </x:c>
      <x:c r="C53" s="25" t="str">
        <x:v>出口包装要求</x:v>
      </x:c>
      <x:c r="D53" s="25" t="str">
        <x:v>出口包装应承受既定运输方式、装卸、气候和堆码，并符合承运人、保险人及目的地规则，而非仅满足国内零售。</x:v>
      </x:c>
      <x:c r="E53" s="25" t="str">
        <x:v># 出口包装要求
## 学习目标
理解“出口包装要求”的核心含义、适用边界，并能在外贸谈判局面中作出有依据的行动。
## 理论精讲
出口包装应承受既定运输方式、装卸、气候和堆码，并符合承运人、保险人及目的地规则，而非仅满足国内零售。
## 专家组英文原文
Export packing must survive the intended mode, handling, climate, and stacking, and must satisfy carrier, insurance, and destination rules — not merely domestic retail packing.
## 训练迁移
在模拟训练中，先识别相关现象，再说明使用本知识或策略的理由，最后给出可执行的商务表达或处理步骤。</x:v>
      </x:c>
      <x:c r="F53" s="26" t="str">
        <x:v>published</x:v>
      </x:c>
    </x:row>
    <x:row r="54">
      <x:c r="A54" s="24" t="str">
        <x:v>K053</x:v>
      </x:c>
      <x:c r="B54" s="25" t="str">
        <x:v>KnowledgeResource</x:v>
      </x:c>
      <x:c r="C54" s="25" t="str">
        <x:v>包装材料、防潮与防盗</x:v>
      </x:c>
      <x:c r="D54" s="25" t="str">
        <x:v>明确纸板等级、衬垫、干燥剂、阻隔膜、封条和防拆措施，以预防常见的受潮与偷盗损失。</x:v>
      </x:c>
      <x:c r="E54" s="25" t="str">
        <x:v># 包装材料、防潮与防盗
## 学习目标
理解“包装材料、防潮与防盗”的核心含义、适用边界，并能在外贸谈判局面中作出有依据的行动。
## 理论精讲
明确纸板等级、衬垫、干燥剂、阻隔膜、封条和防拆措施，以预防常见的受潮与偷盗损失。
## 专家组英文原文
Specify board grade, liners, desiccant, barrier film, seals, and tamper evidence. Moisture and pilferage are the two most common preventable transit losses.
## 训练迁移
在模拟训练中，先识别相关现象，再说明使用本知识或策略的理由，最后给出可执行的商务表达或处理步骤。</x:v>
      </x:c>
      <x:c r="F54" s="26" t="str">
        <x:v>published</x:v>
      </x:c>
    </x:row>
    <x:row r="55">
      <x:c r="A55" s="24" t="str">
        <x:v>K054</x:v>
      </x:c>
      <x:c r="B55" s="25" t="str">
        <x:v>KnowledgeResource</x:v>
      </x:c>
      <x:c r="C55" s="25" t="str">
        <x:v>集装箱装载与货物系固</x:v>
      </x:c>
      <x:c r="D55" s="25" t="str">
        <x:v>规划重量分布、垫塞和绑扎，遵守 CSC 与重量限制；装箱不当会在运输中迅速演变为索赔事故。</x:v>
      </x:c>
      <x:c r="E55" s="25" t="str">
        <x:v># 集装箱装载与货物系固
## 学习目标
理解“集装箱装载与货物系固”的核心含义、适用边界，并能在外贸谈判局面中作出有依据的行动。
## 理论精讲
规划重量分布、垫塞和绑扎，遵守 CSC 与重量限制；装箱不当会在运输中迅速演变为索赔事故。
## 专家组英文原文
Plan stuffing: weight on the floor, no eccentric load, proper blocking/bracing, and CSC/weight limits. A badly stuffed box is a claim waiting for the first swell.
## 训练迁移
在模拟训练中，先识别相关现象，再说明使用本知识或策略的理由，最后给出可执行的商务表达或处理步骤。</x:v>
      </x:c>
      <x:c r="F55" s="26" t="str">
        <x:v>published</x:v>
      </x:c>
    </x:row>
    <x:row r="56">
      <x:c r="A56" s="24" t="str">
        <x:v>K055</x:v>
      </x:c>
      <x:c r="B56" s="25" t="str">
        <x:v>KnowledgeResource</x:v>
      </x:c>
      <x:c r="C56" s="25" t="str">
        <x:v>空运与海运包装差异</x:v>
      </x:c>
      <x:c r="D56" s="25" t="str">
        <x:v>空运重视轻量、紧凑和 IATA 合规；海运重视防潮、防盐和长期滞留保护，不能直接沿用空运包装。</x:v>
      </x:c>
      <x:c r="E56" s="25" t="str">
        <x:v># 空运与海运包装差异
## 学习目标
理解“空运与海运包装差异”的核心含义、适用边界，并能在外贸谈判局面中作出有依据的行动。
## 理论精讲
空运重视轻量、紧凑和 IATA 合规；海运重视防潮、防盐和长期滞留保护，不能直接沿用空运包装。
## 专家组英文原文
Air favours light, compact, IATA-compliant packs; sea favours moisture, salt, and long-dwell protection. Do not reuse an air spec for a 35-day ocean leg.
## 训练迁移
在模拟训练中，先识别相关现象，再说明使用本知识或策略的理由，最后给出可执行的商务表达或处理步骤。</x:v>
      </x:c>
      <x:c r="F56" s="26" t="str">
        <x:v>published</x:v>
      </x:c>
    </x:row>
    <x:row r="57">
      <x:c r="A57" s="24" t="str">
        <x:v>K056</x:v>
      </x:c>
      <x:c r="B57" s="25" t="str">
        <x:v>KnowledgeResource</x:v>
      </x:c>
      <x:c r="C57" s="25" t="str">
        <x:v>包装唛头与标志</x:v>
      </x:c>
      <x:c r="D57" s="25" t="str">
        <x:v>运输唛头用于识别收货人、订单和件号，ISO 搬运标志及联合国编号用于安全操作；错误会导致误运和迟延。</x:v>
      </x:c>
      <x:c r="E57" s="25" t="str">
        <x:v># 包装唛头与标志
## 学习目标
理解“包装唛头与标志”的核心含义、适用边界，并能在外贸谈判局面中作出有依据的行动。
## 理论精讲
运输唛头用于识别收货人、订单和件号，ISO 搬运标志及联合国编号用于安全操作；错误会导致误运和迟延。
## 专家组英文原文
Shipping marks identify the consignee, order, and package numbers; ISO handling symbols and UN numbers protect handling. Wrong marks cause misdelivery and delay.
## 训练迁移
在模拟训练中，先识别相关现象，再说明使用本知识或策略的理由，最后给出可执行的商务表达或处理步骤。</x:v>
      </x:c>
      <x:c r="F57" s="26" t="str">
        <x:v>published</x:v>
      </x:c>
    </x:row>
    <x:row r="58">
      <x:c r="A58" s="24" t="str">
        <x:v>K057</x:v>
      </x:c>
      <x:c r="B58" s="25" t="str">
        <x:v>NegotiationStrategy</x:v>
      </x:c>
      <x:c r="C58" s="25" t="str">
        <x:v>运输方式选择</x:v>
      </x:c>
      <x:c r="D58" s="25" t="str">
        <x:v>依据成本、时间、风险、货物性质和贸易术语选择海运、空运、铁路或多式联运；最低运费不等于最低到岸成本。</x:v>
      </x:c>
      <x:c r="E58" s="25" t="str">
        <x:v># 运输方式选择
## 学习目标
理解“运输方式选择”的核心含义、适用边界，并能在外贸谈判局面中作出有依据的行动。
## 理论精讲
依据成本、时间、风险、货物性质和贸易术语选择海运、空运、铁路或多式联运；最低运费不等于最低到岸成本。
## 专家组英文原文
Choose ocean, air, rail, or multimodal on cost, time, risk, cargo nature, and Incoterm. The cheapest freight is not the cheapest landed cost if it misses the season.
## 训练迁移
在模拟训练中，先识别相关现象，再说明使用本知识或策略的理由，最后给出可执行的商务表达或处理步骤。</x:v>
      </x:c>
      <x:c r="F58" s="26" t="str">
        <x:v>published</x:v>
      </x:c>
    </x:row>
    <x:row r="59">
      <x:c r="A59" s="24" t="str">
        <x:v>K058</x:v>
      </x:c>
      <x:c r="B59" s="25" t="str">
        <x:v>KnowledgeResource</x:v>
      </x:c>
      <x:c r="C59" s="25" t="str">
        <x:v>装运通知与货物跟踪</x:v>
      </x:c>
      <x:c r="D59" s="25" t="str">
        <x:v>发运后立即提供船名或航班、提单号或运单号、预计到达时间和唛头，供买方、银行及保险人跟踪。</x:v>
      </x:c>
      <x:c r="E59" s="25" t="str">
        <x:v># 装运通知与货物跟踪
## 学习目标
理解“装运通知与货物跟踪”的核心含义、适用边界，并能在外贸谈判局面中作出有依据的行动。
## 理论精讲
发运后立即提供船名或航班、提单号或运单号、预计到达时间和唛头，供买方、银行及保险人跟踪。
## 专家组英文原文
Send a shipping advice (vessel/flight, B/L or AWB, ETAs, marks) as soon as dispatched. Tracking feeds the buyer, the bank, and the insurer.
## 训练迁移
在模拟训练中，先识别相关现象，再说明使用本知识或策略的理由，最后给出可执行的商务表达或处理步骤。</x:v>
      </x:c>
      <x:c r="F59" s="26" t="str">
        <x:v>published</x:v>
      </x:c>
    </x:row>
    <x:row r="60">
      <x:c r="A60" s="24" t="str">
        <x:v>K059</x:v>
      </x:c>
      <x:c r="B60" s="25" t="str">
        <x:v>KnowledgeResource</x:v>
      </x:c>
      <x:c r="C60" s="25" t="str">
        <x:v>装运中的文化敏感性</x:v>
      </x:c>
      <x:c r="D60" s="25" t="str">
        <x:v>外包装和单据应避免不吉利数字、颜色及宗教图案，并考虑目的地节假日对港口作业与截关时间的影响。</x:v>
      </x:c>
      <x:c r="E60" s="25" t="str">
        <x:v># 装运中的文化敏感性
## 学习目标
理解“装运中的文化敏感性”的核心含义、适用边界，并能在外贸谈判局面中作出有依据的行动。
## 理论精讲
外包装和单据应避免不吉利数字、颜色及宗教图案，并考虑目的地节假日对港口作业与截关时间的影响。
## 专家组英文原文
Avoid unlucky numbers, colours, or religious motifs on outer packs and documents. Destination holidays also shift port working days and cut-offs.
## 训练迁移
在模拟训练中，先识别相关现象，再说明使用本知识或策略的理由，最后给出可执行的商务表达或处理步骤。</x:v>
      </x:c>
      <x:c r="F60" s="26" t="str">
        <x:v>published</x:v>
      </x:c>
    </x:row>
    <x:row r="61">
      <x:c r="A61" s="24" t="str">
        <x:v>K060</x:v>
      </x:c>
      <x:c r="B61" s="25" t="str">
        <x:v>KnowledgeResource</x:v>
      </x:c>
      <x:c r="C61" s="25" t="str">
        <x:v>包装环保与监管要求</x:v>
      </x:c>
      <x:c r="D61" s="25" t="str">
        <x:v>木质包装须遵守 ISPM 15，还应满足目的地包装废弃物和塑料限制；违规不仅是环保问题，也会阻碍通关。</x:v>
      </x:c>
      <x:c r="E61" s="25" t="str">
        <x:v># 包装环保与监管要求
## 学习目标
理解“包装环保与监管要求”的核心含义、适用边界，并能在外贸谈判局面中作出有依据的行动。
## 理论精讲
木质包装须遵守 ISPM 15，还应满足目的地包装废弃物和塑料限制；违规不仅是环保问题，也会阻碍通关。
## 专家组英文原文
ISPM-15 for wood, destination packaging-waste rules, and plastic restrictions can block entry. Non-compliant packing is a customs problem, not only a green one.
## 训练迁移
在模拟训练中，先识别相关现象，再说明使用本知识或策略的理由，最后给出可执行的商务表达或处理步骤。</x:v>
      </x:c>
      <x:c r="F61" s="26" t="str">
        <x:v>published</x:v>
      </x:c>
    </x:row>
    <x:row r="62">
      <x:c r="A62" s="24" t="str">
        <x:v>K061</x:v>
      </x:c>
      <x:c r="B62" s="25" t="str">
        <x:v>NegotiationStrategy</x:v>
      </x:c>
      <x:c r="C62" s="25" t="str">
        <x:v>包装成本控制</x:v>
      </x:c>
      <x:c r="D62" s="25" t="str">
        <x:v>通过合理尺寸、提高装箱率和避免无必要的过度包装降本，但不得低于保险人和承运人的最低要求。</x:v>
      </x:c>
      <x:c r="E62" s="25" t="str">
        <x:v># 包装成本控制
## 学习目标
理解“包装成本控制”的核心含义、适用边界，并能在外贸谈判局面中作出有依据的行动。
## 理论精讲
通过合理尺寸、提高装箱率和避免无必要的过度包装降本，但不得低于保险人和承运人的最低要求。
## 专家组英文原文
Right-size the pack, raise container utilisation, and avoid over-spec that the cargo does not need — without cutting below insurer and carrier minimums.
## 训练迁移
在模拟训练中，先识别相关现象，再说明使用本知识或策略的理由，最后给出可执行的商务表达或处理步骤。</x:v>
      </x:c>
      <x:c r="F62" s="26" t="str">
        <x:v>published</x:v>
      </x:c>
    </x:row>
    <x:row r="63">
      <x:c r="A63" s="24" t="str">
        <x:v>K062</x:v>
      </x:c>
      <x:c r="B63" s="25" t="str">
        <x:v>KnowledgeResource</x:v>
      </x:c>
      <x:c r="C63" s="25" t="str">
        <x:v>货运代理选择与协作</x:v>
      </x:c>
      <x:c r="D63" s="25" t="str">
        <x:v>核验货代资质、航线和理赔记录，提供完整托运指示并指定统一负责人，避免单证和截关失控。</x:v>
      </x:c>
      <x:c r="E63" s="25" t="str">
        <x:v># 货运代理选择与协作
## 学习目标
理解“货运代理选择与协作”的核心含义、适用边界，并能在外贸谈判局面中作出有依据的行动。
## 理论精讲
核验货代资质、航线和理赔记录，提供完整托运指示并指定统一负责人，避免单证和截关失控。
## 专家组英文原文
Vet licences, lanes, and claims record. Give the forwarder a complete SI (shipping instruction) and one named owner so documents and cut-offs do not drift.
## 训练迁移
在模拟训练中，先识别相关现象，再说明使用本知识或策略的理由，最后给出可执行的商务表达或处理步骤。</x:v>
      </x:c>
      <x:c r="F63" s="26" t="str">
        <x:v>published</x:v>
      </x:c>
    </x:row>
    <x:row r="64">
      <x:c r="A64" s="24" t="str">
        <x:v>K063</x:v>
      </x:c>
      <x:c r="B64" s="25" t="str">
        <x:v>KnowledgeResource</x:v>
      </x:c>
      <x:c r="C64" s="25" t="str">
        <x:v>装运时间管理</x:v>
      </x:c>
      <x:c r="D64" s="25" t="str">
        <x:v>从最迟装运日倒排工厂、包装、堆场截关和单证截止，并为拥堵与检验预留缓冲。</x:v>
      </x:c>
      <x:c r="E64" s="25" t="str">
        <x:v># 装运时间管理
## 学习目标
理解“装运时间管理”的核心含义、适用边界，并能在外贸谈判局面中作出有依据的行动。
## 理论精讲
从最迟装运日倒排工厂、包装、堆场截关和单证截止，并为拥堵与检验预留缓冲。
## 专家组英文原文
Work backward from the contractual latest ship date through factory, packing, CY cut-off, and doc cut-off. Build a buffer for congestion and inspection.
## 训练迁移
在模拟训练中，先识别相关现象，再说明使用本知识或策略的理由，最后给出可执行的商务表达或处理步骤。</x:v>
      </x:c>
      <x:c r="F64" s="26" t="str">
        <x:v>published</x:v>
      </x:c>
    </x:row>
    <x:row r="65">
      <x:c r="A65" s="24" t="str">
        <x:v>K064</x:v>
      </x:c>
      <x:c r="B65" s="25" t="str">
        <x:v>KnowledgeResource</x:v>
      </x:c>
      <x:c r="C65" s="25" t="str">
        <x:v>装运风险管理</x:v>
      </x:c>
      <x:c r="D65" s="25" t="str">
        <x:v>识别盗窃、受潮、迟延、误报和舱面装载风险，协调贸易术语、包装、系固及运输保险承担方。</x:v>
      </x:c>
      <x:c r="E65" s="25" t="str">
        <x:v># 装运风险管理
## 学习目标
理解“装运风险管理”的核心含义、适用边界，并能在外贸谈判局面中作出有依据的行动。
## 理论精讲
识别盗窃、受潮、迟延、误报和舱面装载风险，协调贸易术语、包装、系固及运输保险承担方。
## 专家组英文原文
Map theft, moisture, delay, misdeclaration, and on-deck stowage. Align Incoterms, packing, securing, and whether transport insurance sits with seller or buyer.
## 训练迁移
在模拟训练中，先识别相关现象，再说明使用本知识或策略的理由，最后给出可执行的商务表达或处理步骤。</x:v>
      </x:c>
      <x:c r="F65" s="26" t="str">
        <x:v>published</x:v>
      </x:c>
    </x:row>
    <x:row r="66">
      <x:c r="A66" s="24" t="str">
        <x:v>K065</x:v>
      </x:c>
      <x:c r="B66" s="25" t="str">
        <x:v>KnowledgeResource</x:v>
      </x:c>
      <x:c r="C66" s="25" t="str">
        <x:v>国际运输规则、海关与港口物流</x:v>
      </x:c>
      <x:c r="D66" s="25" t="str">
        <x:v>提单功能、承运人责任、ISF/ENS 申报及港口协同共同决定货物能否顺利流转，海关错误会直接造成停滞。</x:v>
      </x:c>
      <x:c r="E66" s="25" t="str">
        <x:v># 国际运输规则、海关与港口物流
## 学习目标
理解“国际运输规则、海关与港口物流”的核心含义、适用边界，并能在外贸谈判局面中作出有依据的行动。
## 理论精讲
提单功能、承运人责任、ISF/ENS 申报及港口协同共同决定货物能否顺利流转，海关错误会直接造成停滞。
## 专家组英文原文
B/L functions, Hague-Visby/Rotterdam liability, ISF/ENS filings, and port coordination determine whether cargo moves or sits. Customs errors stop the clock.
## 训练迁移
在模拟训练中，先识别相关现象，再说明使用本知识或策略的理由，最后给出可执行的商务表达或处理步骤。</x:v>
      </x:c>
      <x:c r="F66" s="26" t="str">
        <x:v>published</x:v>
      </x:c>
    </x:row>
    <x:row r="67">
      <x:c r="A67" s="24" t="str">
        <x:v>K066</x:v>
      </x:c>
      <x:c r="B67" s="25" t="str">
        <x:v>KnowledgeResource</x:v>
      </x:c>
      <x:c r="C67" s="25" t="str">
        <x:v>信用证的开立、条款与解释</x:v>
      </x:c>
      <x:c r="D67" s="25" t="str">
        <x:v>信用证是银行依 UCP 600 对相符单据付款的独立承诺；每一字段都应准确起草和审核，银行处理单据而非货物。</x:v>
      </x:c>
      <x:c r="E67" s="25" t="str">
        <x:v># 信用证的开立、条款与解释
## 学习目标
理解“信用证的开立、条款与解释”的核心含义、适用边界，并能在外贸谈判局面中作出有依据的行动。
## 理论精讲
信用证是银行依 UCP 600 对相符单据付款的独立承诺；每一字段都应准确起草和审核，银行处理单据而非货物。
## 专家组英文原文
An L/C is a bank’s independent undertaking to pay against complying documents (UCP 600). Draft and check every field; banks honour documents, not goods.
## 训练迁移
在模拟训练中，先识别相关现象，再说明使用本知识或策略的理由，最后给出可执行的商务表达或处理步骤。</x:v>
      </x:c>
      <x:c r="F67" s="26" t="str">
        <x:v>published</x:v>
      </x:c>
    </x:row>
    <x:row r="68">
      <x:c r="A68" s="24" t="str">
        <x:v>K067</x:v>
      </x:c>
      <x:c r="B68" s="25" t="str">
        <x:v>KnowledgeResource</x:v>
      </x:c>
      <x:c r="C68" s="25" t="str">
        <x:v>电汇（T/T）</x:v>
      </x:c>
      <x:c r="D68" s="25" t="str">
        <x:v>T/T 是银行电汇；预付保护卖方，见提单副本或到货后付余款则增加卖方风险，触发条件必须书面明确。</x:v>
      </x:c>
      <x:c r="E68" s="25" t="str">
        <x:v># 电汇（T/T）
## 学习目标
理解“电汇（T/T）”的核心含义、适用边界，并能在外贸谈判局面中作出有依据的行动。
## 理论精讲
T/T 是银行电汇；预付保护卖方，见提单副本或到货后付余款则增加卖方风险，触发条件必须书面明确。
## 专家组英文原文
T/T is a bank wire. Advance T/T protects the seller; balance-after-copy-B/L or after-arrival shifts risk to the seller. Always define the trigger event in writing.
## 训练迁移
在模拟训练中，先识别相关现象，再说明使用本知识或策略的理由，最后给出可执行的商务表达或处理步骤。</x:v>
      </x:c>
      <x:c r="F68" s="26" t="str">
        <x:v>published</x:v>
      </x:c>
    </x:row>
    <x:row r="69">
      <x:c r="A69" s="24" t="str">
        <x:v>K068</x:v>
      </x:c>
      <x:c r="B69" s="25" t="str">
        <x:v>KnowledgeResource</x:v>
      </x:c>
      <x:c r="C69" s="25" t="str">
        <x:v>跟单托收（D/P、D/A）</x:v>
      </x:c>
      <x:c r="D69" s="25" t="str">
        <x:v>D/P 凭付款交单，D/A 凭承兑远期汇票交单，适用 URC 522；银行不提供付款保证，D/A 本质上属于信用风险。</x:v>
      </x:c>
      <x:c r="E69" s="25" t="str">
        <x:v># 跟单托收（D/P、D/A）
## 学习目标
理解“跟单托收（D/P、D/A）”的核心含义、适用边界，并能在外贸谈判局面中作出有依据的行动。
## 理论精讲
D/P 凭付款交单，D/A 凭承兑远期汇票交单，适用 URC 522；银行不提供付款保证，D/A 本质上属于信用风险。
## 专家组英文原文
D/P releases documents against payment; D/A against acceptance of a tenor draft (URC 522). The bank is not a guarantor — D/A is essentially credit risk.
## 训练迁移
在模拟训练中，先识别相关现象，再说明使用本知识或策略的理由，最后给出可执行的商务表达或处理步骤。</x:v>
      </x:c>
      <x:c r="F69" s="26" t="str">
        <x:v>published</x:v>
      </x:c>
    </x:row>
    <x:row r="70">
      <x:c r="A70" s="24" t="str">
        <x:v>K069</x:v>
      </x:c>
      <x:c r="B70" s="25" t="str">
        <x:v>NegotiationStrategy</x:v>
      </x:c>
      <x:c r="C70" s="25" t="str">
        <x:v>付款方式僵局处理</x:v>
      </x:c>
      <x:c r="D70" s="25" t="str">
        <x:v>L/C 与 T/T 僵持时，可用较小金额信用证、定金加托收或保兑信用证交换价格和数量条件，避免固守单一工具。</x:v>
      </x:c>
      <x:c r="E70" s="25" t="str">
        <x:v># 付款方式僵局处理
## 学习目标
理解“付款方式僵局处理”的核心含义、适用边界，并能在外贸谈判局面中作出有依据的行动。
## 理论精讲
L/C 与 T/T 僵持时，可用较小金额信用证、定金加托收或保兑信用证交换价格和数量条件，避免固守单一工具。
## 专家组英文原文
When L/C vs T/T stalls, use retreat-to-advance: offer a smaller L/C, a deposit plus collection, or a confirmed L/C in exchange for price or volume. Do not freeze on one instrument.
## 训练迁移
在模拟训练中，先识别相关现象，再说明使用本知识或策略的理由，最后给出可执行的商务表达或处理步骤。</x:v>
      </x:c>
      <x:c r="F70" s="26" t="str">
        <x:v>published</x:v>
      </x:c>
    </x:row>
    <x:row r="71">
      <x:c r="A71" s="24" t="str">
        <x:v>K070</x:v>
      </x:c>
      <x:c r="B71" s="25" t="str">
        <x:v>NegotiationStrategy</x:v>
      </x:c>
      <x:c r="C71" s="25" t="str">
        <x:v>付款方式比较与选择</x:v>
      </x:c>
      <x:c r="D71" s="25" t="str">
        <x:v>按信用风险、单据风险、政治风险和成本排序，并结合交易历史、国别风险和订单规模选择付款方式。</x:v>
      </x:c>
      <x:c r="E71" s="25" t="str">
        <x:v># 付款方式比较与选择
## 学习目标
理解“付款方式比较与选择”的核心含义、适用边界，并能在外贸谈判局面中作出有依据的行动。
## 理论精讲
按信用风险、单据风险、政治风险和成本排序，并结合交易历史、国别风险和订单规模选择付款方式。
## 专家组英文原文
Rank methods by who bears credit, document, and political risk, and by cost. Match the method to counterpart history, country risk, and order size.
## 训练迁移
在模拟训练中，先识别相关现象，再说明使用本知识或策略的理由，最后给出可执行的商务表达或处理步骤。</x:v>
      </x:c>
      <x:c r="F71" s="26" t="str">
        <x:v>published</x:v>
      </x:c>
    </x:row>
    <x:row r="72">
      <x:c r="A72" s="24" t="str">
        <x:v>K071</x:v>
      </x:c>
      <x:c r="B72" s="25" t="str">
        <x:v>KnowledgeResource</x:v>
      </x:c>
      <x:c r="C72" s="25" t="str">
        <x:v>交付条件与验收标准</x:v>
      </x:c>
      <x:c r="D72" s="25" t="str">
        <x:v>Incoterms 分配交货点、费用和风险，但不自动规定质量验收；合同应明确何时视为验收及何种证据有效。</x:v>
      </x:c>
      <x:c r="E72" s="25" t="str">
        <x:v># 交付条件与验收标准
## 学习目标
理解“交付条件与验收标准”的核心含义、适用边界，并能在外贸谈判局面中作出有依据的行动。
## 理论精讲
Incoterms 分配交货点、费用和风险，但不自动规定质量验收；合同应明确何时视为验收及何种证据有效。
## 专家组英文原文
Incoterms allocate delivery point, cost, and risk; they do not by themselves define quality acceptance. Spell out when goods are accepted and what evidence counts.
## 训练迁移
在模拟训练中，先识别相关现象，再说明使用本知识或策略的理由，最后给出可执行的商务表达或处理步骤。</x:v>
      </x:c>
      <x:c r="F72" s="26" t="str">
        <x:v>published</x:v>
      </x:c>
    </x:row>
    <x:row r="73">
      <x:c r="A73" s="24" t="str">
        <x:v>K072</x:v>
      </x:c>
      <x:c r="B73" s="25" t="str">
        <x:v>KnowledgeResource</x:v>
      </x:c>
      <x:c r="C73" s="25" t="str">
        <x:v>付款与交付的跨文化差异</x:v>
      </x:c>
      <x:c r="D73" s="25" t="str">
        <x:v>不同市场对 30% T/T 或保兑信用证的信任惯例不同，不应把风险控制要求理解为对个人的不信任。</x:v>
      </x:c>
      <x:c r="E73" s="25" t="str">
        <x:v># 付款与交付的跨文化差异
## 学习目标
理解“付款与交付的跨文化差异”的核心含义、适用边界，并能在外贸谈判局面中作出有依据的行动。
## 理论精讲
不同市场对 30% T/T 或保兑信用证的信任惯例不同，不应把风险控制要求理解为对个人的不信任。
## 专家组英文原文
Some markets treat 30% T/T as normal trust; others insist on confirmed L/C even for repeat orders. Do not read a payment demand as a personal insult.
## 训练迁移
在模拟训练中，先识别相关现象，再说明使用本知识或策略的理由，最后给出可执行的商务表达或处理步骤。</x:v>
      </x:c>
      <x:c r="F73" s="26" t="str">
        <x:v>published</x:v>
      </x:c>
    </x:row>
    <x:row r="74">
      <x:c r="A74" s="24" t="str">
        <x:v>K073</x:v>
      </x:c>
      <x:c r="B74" s="25" t="str">
        <x:v>NegotiationStrategy</x:v>
      </x:c>
      <x:c r="C74" s="25" t="str">
        <x:v>预付款、融资与赊销</x:v>
      </x:c>
      <x:c r="D74" s="25" t="str">
        <x:v>定金、红条款信用证、福费廷和信用保险项下赊销可用于生产融资或授信，融资成本应计入报价。</x:v>
      </x:c>
      <x:c r="E74" s="25" t="str">
        <x:v># 预付款、融资与赊销
## 学习目标
理解“预付款、融资与赊销”的核心含义、适用边界，并能在外贸谈判局面中作出有依据的行动。
## 理论精讲
定金、红条款信用证、福费廷和信用保险项下赊销可用于生产融资或授信，融资成本应计入报价。
## 专家组英文原文
Deposits, red-clause L/Cs, forfaiting, and insured open account are tools to fund production or grant credit. Price the financing into the offer; do not give it away.
## 训练迁移
在模拟训练中，先识别相关现象，再说明使用本知识或策略的理由，最后给出可执行的商务表达或处理步骤。</x:v>
      </x:c>
      <x:c r="F74" s="26" t="str">
        <x:v>published</x:v>
      </x:c>
    </x:row>
    <x:row r="75">
      <x:c r="A75" s="24" t="str">
        <x:v>K074</x:v>
      </x:c>
      <x:c r="B75" s="25" t="str">
        <x:v>KnowledgeResource</x:v>
      </x:c>
      <x:c r="C75" s="25" t="str">
        <x:v>交付迟延与合同违约</x:v>
      </x:c>
      <x:c r="D75" s="25" t="str">
        <x:v>迟延交付原则上构成违约；CISG 第47—52条及第74—77条涉及宽限期、宣告合同无效、损害赔偿和减损义务。</x:v>
      </x:c>
      <x:c r="E75" s="25" t="str">
        <x:v># 交付迟延与合同违约
## 学习目标
理解“交付迟延与合同违约”的核心含义、适用边界，并能在外贸谈判局面中作出有依据的行动。
## 理论精讲
迟延交付原则上构成违约；CISG 第47—52条及第74—77条涉及宽限期、宣告合同无效、损害赔偿和减损义务。
## 专家组英文原文
Late delivery is a breach unless an exemption applies. CISG Arts. 47–52 and 74–77 govern Nachfrist, avoidance, and damages, including the duty to mitigate.
## 训练迁移
在模拟训练中，先识别相关现象，再说明使用本知识或策略的理由，最后给出可执行的商务表达或处理步骤。</x:v>
      </x:c>
      <x:c r="F75" s="26" t="str">
        <x:v>published</x:v>
      </x:c>
    </x:row>
    <x:row r="76">
      <x:c r="A76" s="24" t="str">
        <x:v>K075</x:v>
      </x:c>
      <x:c r="B76" s="25" t="str">
        <x:v>KnowledgeResource</x:v>
      </x:c>
      <x:c r="C76" s="25" t="str">
        <x:v>汇率风险管理</x:v>
      </x:c>
      <x:c r="D76" s="25" t="str">
        <x:v>可通过选择可控币种、缩短有效期、分拆发票或远期套期保值控制风险；未对冲的长期 T/T 等同隐性降价。</x:v>
      </x:c>
      <x:c r="E76" s="25" t="str">
        <x:v># 汇率风险管理
## 学习目标
理解“汇率风险管理”的核心含义、适用边界，并能在外贸谈判局面中作出有依据的行动。
## 理论精讲
可通过选择可控币种、缩短有效期、分拆发票或远期套期保值控制风险；未对冲的长期 T/T 等同隐性降价。
## 专家组英文原文
Quote in a managed currency, shorten validity, split invoices, or hedge with forwards. An unhedged 90-day T/T in a volatile pair is a hidden price cut.
## 训练迁移
在模拟训练中，先识别相关现象，再说明使用本知识或策略的理由，最后给出可执行的商务表达或处理步骤。</x:v>
      </x:c>
      <x:c r="F76" s="26" t="str">
        <x:v>published</x:v>
      </x:c>
    </x:row>
    <x:row r="77">
      <x:c r="A77" s="24" t="str">
        <x:v>K076</x:v>
      </x:c>
      <x:c r="B77" s="25" t="str">
        <x:v>NegotiationStrategy</x:v>
      </x:c>
      <x:c r="C77" s="25" t="str">
        <x:v>混合与综合付款方式</x:v>
      </x:c>
      <x:c r="D77" s="25" t="str">
        <x:v>组合 30% T/T 与 70% 即期 L/C 等工具时，应明确触发条件、单据清单、时间表和汇率规则。</x:v>
      </x:c>
      <x:c r="E77" s="25" t="str">
        <x:v># 混合与综合付款方式
## 学习目标
理解“混合与综合付款方式”的核心含义、适用边界，并能在外贸谈判局面中作出有依据的行动。
## 理论精讲
组合 30% T/T 与 70% 即期 L/C 等工具时，应明确触发条件、单据清单、时间表和汇率规则。
## 专家组英文原文
Combine instruments (e.g. 30% T/T + 70% sight L/C) with clear triggers, document lists, and FX rules. A hybrid without a timeline is a future deadlock.
## 训练迁移
在模拟训练中，先识别相关现象，再说明使用本知识或策略的理由，最后给出可执行的商务表达或处理步骤。</x:v>
      </x:c>
      <x:c r="F77" s="26" t="str">
        <x:v>published</x:v>
      </x:c>
    </x:row>
    <x:row r="78">
      <x:c r="A78" s="24" t="str">
        <x:v>K077</x:v>
      </x:c>
      <x:c r="B78" s="25" t="str">
        <x:v>KnowledgeResource</x:v>
      </x:c>
      <x:c r="C78" s="25" t="str">
        <x:v>国际银行业务与托收技巧</x:v>
      </x:c>
      <x:c r="D78" s="25" t="str">
        <x:v>掌握开证、通知、保兑、交单、不符点和托收周期，并以完整单据轨迹追收款项，而非只靠催促。</x:v>
      </x:c>
      <x:c r="E78" s="25" t="str">
        <x:v># 国际银行业务与托收技巧
## 学习目标
理解“国际银行业务与托收技巧”的核心含义、适用边界，并能在外贸谈判局面中作出有依据的行动。
## 理论精讲
掌握开证、通知、保兑、交单、不符点和托收周期，并以完整单据轨迹追收款项，而非只靠催促。
## 专家组英文原文
Know issuance, advising, confirmation, presentation, discrepancy, and collection cycles. Chase unpaid items with a document trail, not only with reminders.
## 训练迁移
在模拟训练中，先识别相关现象，再说明使用本知识或策略的理由，最后给出可执行的商务表达或处理步骤。</x:v>
      </x:c>
      <x:c r="F78" s="26" t="str">
        <x:v>published</x:v>
      </x:c>
    </x:row>
    <x:row r="79">
      <x:c r="A79" s="24" t="str">
        <x:v>K078</x:v>
      </x:c>
      <x:c r="B79" s="25" t="str">
        <x:v>KnowledgeResource</x:v>
      </x:c>
      <x:c r="C79" s="25" t="str">
        <x:v>商品检验的定义</x:v>
      </x:c>
      <x:c r="D79" s="25" t="str">
        <x:v>商品检验是依合同或法规对质量、数量、包装和安全进行审查，并形成可能影响付款的检验证书。</x:v>
      </x:c>
      <x:c r="E79" s="25" t="str">
        <x:v># 商品检验的定义
## 学习目标
理解“商品检验的定义”的核心含义、适用边界，并能在外贸谈判局面中作出有依据的行动。
## 理论精讲
商品检验是依合同或法规对质量、数量、包装和安全进行审查，并形成可能影响付款的检验证书。
## 专家组英文原文
Commodity inspection is the contractual or statutory examination of quality, quantity, packing, and safety, producing a certificate that may condition payment.
## 训练迁移
在模拟训练中，先识别相关现象，再说明使用本知识或策略的理由，最后给出可执行的商务表达或处理步骤。</x:v>
      </x:c>
      <x:c r="F79" s="26" t="str">
        <x:v>published</x:v>
      </x:c>
    </x:row>
    <x:row r="80">
      <x:c r="A80" s="24" t="str">
        <x:v>K079</x:v>
      </x:c>
      <x:c r="B80" s="25" t="str">
        <x:v>KnowledgeResource</x:v>
      </x:c>
      <x:c r="C80" s="25" t="str">
        <x:v>商品检验流程</x:v>
      </x:c>
      <x:c r="D80" s="25" t="str">
        <x:v>典型流程为约定标准与地点、预约机构、检验或抽样、签发证书及必要时复验，并应纳入生产计划。</x:v>
      </x:c>
      <x:c r="E80" s="25" t="str">
        <x:v># 商品检验流程
## 学习目标
理解“商品检验流程”的核心含义、适用边界，并能在外贸谈判局面中作出有依据的行动。
## 理论精讲
典型流程为约定标准与地点、预约机构、检验或抽样、签发证书及必要时复验，并应纳入生产计划。
## 专家组英文原文
Typical flow: agree standard and place → book the agency → inspect/sample → issue certificate → (if needed) re-inspect. Build the booking into the production plan.
## 训练迁移
在模拟训练中，先识别相关现象，再说明使用本知识或策略的理由，最后给出可执行的商务表达或处理步骤。</x:v>
      </x:c>
      <x:c r="F80" s="26" t="str">
        <x:v>published</x:v>
      </x:c>
    </x:row>
    <x:row r="81">
      <x:c r="A81" s="24" t="str">
        <x:v>K080</x:v>
      </x:c>
      <x:c r="B81" s="25" t="str">
        <x:v>KnowledgeResource</x:v>
      </x:c>
      <x:c r="C81" s="25" t="str">
        <x:v>检验标准、方法与抽样</x:v>
      </x:c>
      <x:c r="D81" s="25" t="str">
        <x:v>明确 ISO、GB、ASTM 或买方标准、检验方法、AQL 抽样方案和实验室；无封样的“凭样品质”不足以构成标准。</x:v>
      </x:c>
      <x:c r="E81" s="25" t="str">
        <x:v># 检验标准、方法与抽样
## 学习目标
理解“检验标准、方法与抽样”的核心含义、适用边界，并能在外贸谈判局面中作出有依据的行动。
## 理论精讲
明确 ISO、GB、ASTM 或买方标准、检验方法、AQL 抽样方案和实验室；无封样的“凭样品质”不足以构成标准。
## 专家组英文原文
Name the standard (ISO, GB, ASTM, buyer spec), the method, AQL/sampling plan, and the lab. 'Quality as per sample' without a sealed sample is not a standard.
## 训练迁移
在模拟训练中，先识别相关现象，再说明使用本知识或策略的理由，最后给出可执行的商务表达或处理步骤。</x:v>
      </x:c>
      <x:c r="F81" s="26" t="str">
        <x:v>published</x:v>
      </x:c>
    </x:row>
    <x:row r="82">
      <x:c r="A82" s="24" t="str">
        <x:v>K081</x:v>
      </x:c>
      <x:c r="B82" s="25" t="str">
        <x:v>KnowledgeResource</x:v>
      </x:c>
      <x:c r="C82" s="25" t="str">
        <x:v>检验地点与时间</x:v>
      </x:c>
      <x:c r="D82" s="25" t="str">
        <x:v>产地检验更有利于卖方收款，目的地检验更保护买方使用利益；合同应明确何者为最终检验及到货后期限。</x:v>
      </x:c>
      <x:c r="E82" s="25" t="str">
        <x:v># 检验地点与时间
## 学习目标
理解“检验地点与时间”的核心含义、适用边界，并能在外贸谈判局面中作出有依据的行动。
## 理论精讲
产地检验更有利于卖方收款，目的地检验更保护买方使用利益；合同应明确何者为最终检验及到货后期限。
## 专家组英文原文
Origin inspection protects the seller’s payment; destination inspection protects the buyer’s use. The contract must say which is final, and within how many days of arrival.
## 训练迁移
在模拟训练中，先识别相关现象，再说明使用本知识或策略的理由，最后给出可执行的商务表达或处理步骤。</x:v>
      </x:c>
      <x:c r="F82" s="26" t="str">
        <x:v>published</x:v>
      </x:c>
    </x:row>
    <x:row r="83">
      <x:c r="A83" s="24" t="str">
        <x:v>K082</x:v>
      </x:c>
      <x:c r="B83" s="25" t="str">
        <x:v>KnowledgeResource</x:v>
      </x:c>
      <x:c r="C83" s="25" t="str">
        <x:v>检验证书与单据</x:v>
      </x:c>
      <x:c r="D83" s="25" t="str">
        <x:v>检验证书中的品名、数量和原产地应与信用证及商业单据一致；CIQ/SGS 证书上的错字也可能构成不符点。</x:v>
      </x:c>
      <x:c r="E83" s="25" t="str">
        <x:v># 检验证书与单据
## 学习目标
理解“检验证书与单据”的核心含义、适用边界，并能在外贸谈判局面中作出有依据的行动。
## 理论精讲
检验证书中的品名、数量和原产地应与信用证及商业单据一致；CIQ/SGS 证书上的错字也可能构成不符点。
## 专家组英文原文
Certificates must match the L/C and commercial docs on description, quantity, and origin. A typo on a CIQ/SGS certificate is a discrepancy, not a detail.
## 训练迁移
在模拟训练中，先识别相关现象，再说明使用本知识或策略的理由，最后给出可执行的商务表达或处理步骤。</x:v>
      </x:c>
      <x:c r="F83" s="26" t="str">
        <x:v>published</x:v>
      </x:c>
    </x:row>
    <x:row r="84">
      <x:c r="A84" s="24" t="str">
        <x:v>K083</x:v>
      </x:c>
      <x:c r="B84" s="25" t="str">
        <x:v>KnowledgeResource</x:v>
      </x:c>
      <x:c r="C84" s="25" t="str">
        <x:v>检验争议与复验处理</x:v>
      </x:c>
      <x:c r="D84" s="25" t="str">
        <x:v>保存样品、安排联合检验并依合同进行复验；检验人员到场前不得卸货、返工或销毁证据。</x:v>
      </x:c>
      <x:c r="E84" s="25" t="str">
        <x:v># 检验争议与复验处理
## 学习目标
理解“检验争议与复验处理”的核心含义、适用边界，并能在外贸谈判局面中作出有依据的行动。
## 理论精讲
保存样品、安排联合检验并依合同进行复验；检验人员到场前不得卸货、返工或销毁证据。
## 专家组英文原文
Preserve samples, call a joint survey, and follow the contractual re-inspection path. Do not unload, rework, or destroy evidence before the surveyor attends.
## 训练迁移
在模拟训练中，先识别相关现象，再说明使用本知识或策略的理由，最后给出可执行的商务表达或处理步骤。</x:v>
      </x:c>
      <x:c r="F84" s="26" t="str">
        <x:v>published</x:v>
      </x:c>
    </x:row>
    <x:row r="85">
      <x:c r="A85" s="24" t="str">
        <x:v>K084</x:v>
      </x:c>
      <x:c r="B85" s="25" t="str">
        <x:v>KnowledgeResource</x:v>
      </x:c>
      <x:c r="C85" s="25" t="str">
        <x:v>商品检验的跨文化差异</x:v>
      </x:c>
      <x:c r="D85" s="25" t="str">
        <x:v>各市场对商业容差的接受度不同，有的任何偏差都拒收，有的倾向议价；应把容差写入合同而非依赖假设。</x:v>
      </x:c>
      <x:c r="E85" s="25" t="str">
        <x:v># 商品检验的跨文化差异
## 学习目标
理解“商品检验的跨文化差异”的核心含义、适用边界，并能在外贸谈判局面中作出有依据的行动。
## 理论精讲
各市场对商业容差的接受度不同，有的任何偏差都拒收，有的倾向议价；应把容差写入合同而非依赖假设。
## 专家组英文原文
Tolerance for 'commercial difference' varies. Some buyers treat any deviation as rejection; others expect a price talk. Write the tolerance, do not assume it.
## 训练迁移
在模拟训练中，先识别相关现象，再说明使用本知识或策略的理由，最后给出可执行的商务表达或处理步骤。</x:v>
      </x:c>
      <x:c r="F85" s="26" t="str">
        <x:v>published</x:v>
      </x:c>
    </x:row>
    <x:row r="86">
      <x:c r="A86" s="24" t="str">
        <x:v>K085</x:v>
      </x:c>
      <x:c r="B86" s="25" t="str">
        <x:v>NegotiationStrategy</x:v>
      </x:c>
      <x:c r="C86" s="25" t="str">
        <x:v>检验机构选择标准</x:v>
      </x:c>
      <x:c r="D86" s="25" t="str">
        <x:v>依据资质、目的地认可度、速度和独立性选择机构；买方指定机构并不当然偏颇，但委托范围必须书面明确。</x:v>
      </x:c>
      <x:c r="E86" s="25" t="str">
        <x:v># 检验机构选择标准
## 学习目标
理解“检验机构选择标准”的核心含义、适用边界，并能在外贸谈判局面中作出有依据的行动。
## 理论精讲
依据资质、目的地认可度、速度和独立性选择机构；买方指定机构并不当然偏颇，但委托范围必须书面明确。
## 专家组英文原文
Choose by accreditation, destination recognition, speed, and independence. A buyer-nominated inspector is not automatically biased — but the mandate must be written.
## 训练迁移
在模拟训练中，先识别相关现象，再说明使用本知识或策略的理由，最后给出可执行的商务表达或处理步骤。</x:v>
      </x:c>
      <x:c r="F86" s="26" t="str">
        <x:v>published</x:v>
      </x:c>
    </x:row>
    <x:row r="87">
      <x:c r="A87" s="24" t="str">
        <x:v>K086</x:v>
      </x:c>
      <x:c r="B87" s="25" t="str">
        <x:v>KnowledgeResource</x:v>
      </x:c>
      <x:c r="C87" s="25" t="str">
        <x:v>检验费用及其分配</x:v>
      </x:c>
      <x:c r="D87" s="25" t="str">
        <x:v>明确首次检验、首次不合格后的复验费用由谁承担，以及相关费用能否作为损害赔偿追偿。</x:v>
      </x:c>
      <x:c r="E87" s="25" t="str">
        <x:v># 检验费用及其分配
## 学习目标
理解“检验费用及其分配”的核心含义、适用边界，并能在外贸谈判局面中作出有依据的行动。
## 理论精讲
明确首次检验、首次不合格后的复验费用由谁承担，以及相关费用能否作为损害赔偿追偿。
## 专家组英文原文
State who pays first inspection, who pays re-inspection if the first fails, and whether failed-inspection costs are recoverable as damages.
## 训练迁移
在模拟训练中，先识别相关现象，再说明使用本知识或策略的理由，最后给出可执行的商务表达或处理步骤。</x:v>
      </x:c>
      <x:c r="F87" s="26" t="str">
        <x:v>published</x:v>
      </x:c>
    </x:row>
    <x:row r="88">
      <x:c r="A88" s="24" t="str">
        <x:v>K087</x:v>
      </x:c>
      <x:c r="B88" s="25" t="str">
        <x:v>KnowledgeResource</x:v>
      </x:c>
      <x:c r="C88" s="25" t="str">
        <x:v>检验与保险的关系</x:v>
      </x:c>
      <x:c r="D88" s="25" t="str">
        <x:v>产地清洁证书不能证明风险转移时货物必然完好，若损失属于运输风险，应协调检验时间与保险调查。</x:v>
      </x:c>
      <x:c r="E88" s="25" t="str">
        <x:v># 检验与保险的关系
## 学习目标
理解“检验与保险的关系”的核心含义、适用边界，并能在外贸谈判局面中作出有依据的行动。
## 理论精讲
产地清洁证书不能证明风险转移时货物必然完好，若损失属于运输风险，应协调检验时间与保险调查。
## 专家组英文原文
A clean origin certificate does not prove the cargo was sound at the risk-transfer point if later damage is a transit peril. Coordinate survey timing with the insurer.
## 训练迁移
在模拟训练中，先识别相关现象，再说明使用本知识或策略的理由，最后给出可执行的商务表达或处理步骤。</x:v>
      </x:c>
      <x:c r="F88" s="26" t="str">
        <x:v>published</x:v>
      </x:c>
    </x:row>
    <x:row r="89">
      <x:c r="A89" s="24" t="str">
        <x:v>K088</x:v>
      </x:c>
      <x:c r="B89" s="25" t="str">
        <x:v>KnowledgeResource</x:v>
      </x:c>
      <x:c r="C89" s="25" t="str">
        <x:v>商品检验法规与质量控制</x:v>
      </x:c>
      <x:c r="D89" s="25" t="str">
        <x:v>法定检验、出口许可和目的地 SPS 要求叠加于合同之上，工厂质量控制应同时满足合同和法定标准。</x:v>
      </x:c>
      <x:c r="E89" s="25" t="str">
        <x:v># 商品检验法规与质量控制
## 学习目标
理解“商品检验法规与质量控制”的核心含义、适用边界，并能在外贸谈判局面中作出有依据的行动。
## 理论精讲
法定检验、出口许可和目的地 SPS 要求叠加于合同之上，工厂质量控制应同时满足合同和法定标准。
## 专家组英文原文
Statutory inspection (export licensing, destination SPS) sits on top of the contract. Factory QC should be designed to pass both the contract spec and the statutory one.
## 训练迁移
在模拟训练中，先识别相关现象，再说明使用本知识或策略的理由，最后给出可执行的商务表达或处理步骤。</x:v>
      </x:c>
      <x:c r="F89" s="26" t="str">
        <x:v>published</x:v>
      </x:c>
    </x:row>
    <x:row r="90">
      <x:c r="A90" s="24" t="str">
        <x:v>K089</x:v>
      </x:c>
      <x:c r="B90" s="25" t="str">
        <x:v>KnowledgeResource</x:v>
      </x:c>
      <x:c r="C90" s="25" t="str">
        <x:v>多国检验、认证与环保测试</x:v>
      </x:c>
      <x:c r="D90" s="25" t="str">
        <x:v>将 CE、FDA、REACH、能效和实验室测试纳入关键路径；目的地化学测试失败通常无法仅靠商业折扣补救。</x:v>
      </x:c>
      <x:c r="E90" s="25" t="str">
        <x:v># 多国检验、认证与环保测试
## 学习目标
理解“多国检验、认证与环保测试”的核心含义、适用边界，并能在外贸谈判局面中作出有依据的行动。
## 理论精讲
将 CE、FDA、REACH、能效和实验室测试纳入关键路径；目的地化学测试失败通常无法仅靠商业折扣补救。
## 专家组英文原文
Plan CE, FDA, REACH, energy, and lab tests into the critical path. A failed chemical test at destination cannot be cured by a commercial discount alone.
## 训练迁移
在模拟训练中，先识别相关现象，再说明使用本知识或策略的理由，最后给出可执行的商务表达或处理步骤。</x:v>
      </x:c>
      <x:c r="F90" s="26" t="str">
        <x:v>published</x:v>
      </x:c>
    </x:row>
    <x:row r="91">
      <x:c r="A91" s="24" t="str">
        <x:v>K090</x:v>
      </x:c>
      <x:c r="B91" s="25" t="str">
        <x:v>KnowledgeResource</x:v>
      </x:c>
      <x:c r="C91" s="25" t="str">
        <x:v>货物运输保险的定义</x:v>
      </x:c>
      <x:c r="D91" s="25" t="str">
        <x:v>货物运输保险补偿运输期间承保危险造成的损失，是独立于买卖合同和承运人责任的损失补偿合同。</x:v>
      </x:c>
      <x:c r="E91" s="25" t="str">
        <x:v># 货物运输保险的定义
## 学习目标
理解“货物运输保险的定义”的核心含义、适用边界，并能在外贸谈判局面中作出有依据的行动。
## 理论精讲
货物运输保险补偿运输期间承保危险造成的损失，是独立于买卖合同和承运人责任的损失补偿合同。
## 专家组英文原文
Cargo insurance indemnifies insured perils during transit. It is a contract of indemnity, separate from the sale contract and from the carrier’s liability.
## 训练迁移
在模拟训练中，先识别相关现象，再说明使用本知识或策略的理由，最后给出可执行的商务表达或处理步骤。</x:v>
      </x:c>
      <x:c r="F91" s="26" t="str">
        <x:v>published</x:v>
      </x:c>
    </x:row>
    <x:row r="92">
      <x:c r="A92" s="24" t="str">
        <x:v>K091</x:v>
      </x:c>
      <x:c r="B92" s="25" t="str">
        <x:v>NegotiationStrategy</x:v>
      </x:c>
      <x:c r="C92" s="25" t="str">
        <x:v>保险险别与承保范围选择</x:v>
      </x:c>
      <x:c r="D92" s="25" t="str">
        <x:v>ICC(A/B/C) 或中国保险条款、战争险、罢工险及仓至仓条款应匹配货物、路线和贸易术语；A 险并非总是必要，C 险也可能不足。</x:v>
      </x:c>
      <x:c r="E92" s="25" t="str">
        <x:v># 保险险别与承保范围选择
## 学习目标
理解“保险险别与承保范围选择”的核心含义、适用边界，并能在外贸谈判局面中作出有依据的行动。
## 理论精讲
ICC(A/B/C) 或中国保险条款、战争险、罢工险及仓至仓条款应匹配货物、路线和贸易术语；A 险并非总是必要，C 险也可能不足。
## 专家组英文原文
Institute Cargo Clauses A/B/C (or CIC equivalents), war, SRCC, and warehouse-to-warehouse must match cargo, route, and Incoterm. Clause A is not always required; Clause C is often too thin.
## 训练迁移
在模拟训练中，先识别相关现象，再说明使用本知识或策略的理由，最后给出可执行的商务表达或处理步骤。</x:v>
      </x:c>
      <x:c r="F92" s="26" t="str">
        <x:v>published</x:v>
      </x:c>
    </x:row>
    <x:row r="93">
      <x:c r="A93" s="24" t="str">
        <x:v>K092</x:v>
      </x:c>
      <x:c r="B93" s="25" t="str">
        <x:v>KnowledgeResource</x:v>
      </x:c>
      <x:c r="C93" s="25" t="str">
        <x:v>保险金额、估值与保费计算</x:v>
      </x:c>
      <x:c r="D93" s="25" t="str">
        <x:v>常见投保金额为 CIF 价的 110%；不足额投保适用比例分摊，超额投保不增加赔付，费率取决于货物、路线和损失记录。</x:v>
      </x:c>
      <x:c r="E93" s="25" t="str">
        <x:v># 保险金额、估值与保费计算
## 学习目标
理解“保险金额、估值与保费计算”的核心含义、适用边界，并能在外贸谈判局面中作出有依据的行动。
## 理论精讲
常见投保金额为 CIF 价的 110%；不足额投保适用比例分摊，超额投保不增加赔付，费率取决于货物、路线和损失记录。
## 专家组英文原文
Common valuation is CIF × 110%. Under-insurance triggers average; over-insurance does not increase recovery. Premium follows cargo class, route, and loss record.
## 训练迁移
在模拟训练中，先识别相关现象，再说明使用本知识或策略的理由，最后给出可执行的商务表达或处理步骤。</x:v>
      </x:c>
      <x:c r="F93" s="26" t="str">
        <x:v>published</x:v>
      </x:c>
    </x:row>
    <x:row r="94">
      <x:c r="A94" s="24" t="str">
        <x:v>K093</x:v>
      </x:c>
      <x:c r="B94" s="25" t="str">
        <x:v>KnowledgeResource</x:v>
      </x:c>
      <x:c r="C94" s="25" t="str">
        <x:v>投保与保险索赔程序</x:v>
      </x:c>
      <x:c r="D94" s="25" t="str">
        <x:v>应在风险开始前投保；出险后及时通知、检验、减损并收集提单、发票、保单和照片，在保单期限内索赔。</x:v>
      </x:c>
      <x:c r="E94" s="25" t="str">
        <x:v># 投保与保险索赔程序
## 学习目标
理解“投保与保险索赔程序”的核心含义、适用边界，并能在外贸谈判局面中作出有依据的行动。
## 理论精讲
应在风险开始前投保；出险后及时通知、检验、减损并收集提单、发票、保单和照片，在保单期限内索赔。
## 专家组英文原文
Apply before risk attaches. On loss: notice, survey, mitigate, collect B/L, invoice, policy, and photos, then file within policy time. Late notice is a classic denial.
## 训练迁移
在模拟训练中，先识别相关现象，再说明使用本知识或策略的理由，最后给出可执行的商务表达或处理步骤。</x:v>
      </x:c>
      <x:c r="F94" s="26" t="str">
        <x:v>published</x:v>
      </x:c>
    </x:row>
    <x:row r="95">
      <x:c r="A95" s="24" t="str">
        <x:v>K094</x:v>
      </x:c>
      <x:c r="B95" s="25" t="str">
        <x:v>KnowledgeResource</x:v>
      </x:c>
      <x:c r="C95" s="25" t="str">
        <x:v>免赔额与国际保险条款</x:v>
      </x:c>
      <x:c r="D95" s="25" t="str">
        <x:v>免赔额、除外责任和协会或中国保险条款共同界定实际承保范围，承诺“足额保险”前必须核对免赔安排。</x:v>
      </x:c>
      <x:c r="E95" s="25" t="str">
        <x:v># 免赔额与国际保险条款
## 学习目标
理解“免赔额与国际保险条款”的核心含义、适用边界，并能在外贸谈判局面中作出有依据的行动。
## 理论精讲
免赔额、除外责任和协会或中国保险条款共同界定实际承保范围，承诺“足额保险”前必须核对免赔安排。
## 专家组英文原文
Deductibles, exclusions, and Institute/CIC clauses define what is actually covered. Read the deductible before promising the buyer 'fully insured'.
## 训练迁移
在模拟训练中，先识别相关现象，再说明使用本知识或策略的理由，最后给出可执行的商务表达或处理步骤。</x:v>
      </x:c>
      <x:c r="F95" s="26" t="str">
        <x:v>published</x:v>
      </x:c>
    </x:row>
    <x:row r="96">
      <x:c r="A96" s="24" t="str">
        <x:v>K095</x:v>
      </x:c>
      <x:c r="B96" s="25" t="str">
        <x:v>KnowledgeResource</x:v>
      </x:c>
      <x:c r="C96" s="25" t="str">
        <x:v>仲裁的定义与优势</x:v>
      </x:c>
      <x:c r="D96" s="25" t="str">
        <x:v>仲裁具有私人性和通常的保密性，裁决可依《纽约公约》执行，往往比跨国诉讼更中立和高效。</x:v>
      </x:c>
      <x:c r="E96" s="25" t="str">
        <x:v># 仲裁的定义与优势
## 学习目标
理解“仲裁的定义与优势”的核心含义、适用边界，并能在外贸谈判局面中作出有依据的行动。
## 理论精讲
仲裁具有私人性和通常的保密性，裁决可依《纽约公约》执行，往往比跨国诉讼更中立和高效。
## 专家组英文原文
Arbitration is private, typically confidential, and yields an award enforceable under the New York Convention — usually faster and more neutral than foreign courts.
## 训练迁移
在模拟训练中，先识别相关现象，再说明使用本知识或策略的理由，最后给出可执行的商务表达或处理步骤。</x:v>
      </x:c>
      <x:c r="F96" s="26" t="str">
        <x:v>published</x:v>
      </x:c>
    </x:row>
    <x:row r="97">
      <x:c r="A97" s="24" t="str">
        <x:v>K096</x:v>
      </x:c>
      <x:c r="B97" s="25" t="str">
        <x:v>NegotiationStrategy</x:v>
      </x:c>
      <x:c r="C97" s="25" t="str">
        <x:v>仲裁制度与机构选择</x:v>
      </x:c>
      <x:c r="D97" s="25" t="str">
        <x:v>应依据语言、成本、仲裁地及对方资产所在地的执行便利，选择 CIETAC、HKIAC、SIAC、ICC 或临时仲裁。</x:v>
      </x:c>
      <x:c r="E97" s="25" t="str">
        <x:v># 仲裁制度与机构选择
## 学习目标
理解“仲裁制度与机构选择”的核心含义、适用边界，并能在外贸谈判局面中作出有依据的行动。
## 理论精讲
应依据语言、成本、仲裁地及对方资产所在地的执行便利，选择 CIETAC、HKIAC、SIAC、ICC 或临时仲裁。
## 专家组英文原文
Choose CIETAC, HKIAC, SIAC, ICC, or ad hoc with a reason: language, cost, seat, and enforceability against the counterpart’s assets. Institution is not a prestige item.
## 训练迁移
在模拟训练中，先识别相关现象，再说明使用本知识或策略的理由，最后给出可执行的商务表达或处理步骤。</x:v>
      </x:c>
      <x:c r="F97" s="26" t="str">
        <x:v>published</x:v>
      </x:c>
    </x:row>
    <x:row r="98">
      <x:c r="A98" s="24" t="str">
        <x:v>K097</x:v>
      </x:c>
      <x:c r="B98" s="25" t="str">
        <x:v>KnowledgeResource</x:v>
      </x:c>
      <x:c r="C98" s="25" t="str">
        <x:v>仲裁条款起草</x:v>
      </x:c>
      <x:c r="D98" s="25" t="str">
        <x:v>有效条款应写明机构、规则、仲裁地、语言、仲裁员人数和准据法；双机构或无仲裁地等病理条款会制造新的争议。</x:v>
      </x:c>
      <x:c r="E98" s="25" t="str">
        <x:v># 仲裁条款起草
## 学习目标
理解“仲裁条款起草”的核心含义、适用边界，并能在外贸谈判局面中作出有依据的行动。
## 理论精讲
有效条款应写明机构、规则、仲裁地、语言、仲裁员人数和准据法；双机构或无仲裁地等病理条款会制造新的争议。
## 专家组英文原文
A working clause names institution, rules, seat, language, number of arbitrators, and governing law. Pathological clauses (two institutions, no seat) create a second dispute.
## 训练迁移
在模拟训练中，先识别相关现象，再说明使用本知识或策略的理由，最后给出可执行的商务表达或处理步骤。</x:v>
      </x:c>
      <x:c r="F98" s="26" t="str">
        <x:v>published</x:v>
      </x:c>
    </x:row>
    <x:row r="99">
      <x:c r="A99" s="24" t="str">
        <x:v>K098</x:v>
      </x:c>
      <x:c r="B99" s="25" t="str">
        <x:v>KnowledgeResource</x:v>
      </x:c>
      <x:c r="C99" s="25" t="str">
        <x:v>仲裁程序、费用与裁决执行</x:v>
      </x:c>
      <x:c r="D99" s="25" t="str">
        <x:v>掌握立案、组庭、审理及《纽约公约》执行路径，并在启动前比较争议金额与时间、费用成本。</x:v>
      </x:c>
      <x:c r="E99" s="25" t="str">
        <x:v># 仲裁程序、费用与裁决执行
## 学习目标
理解“仲裁程序、费用与裁决执行”的核心含义、适用边界，并能在外贸谈判局面中作出有依据的行动。
## 理论精讲
掌握立案、组庭、审理及《纽约公约》执行路径，并在启动前比较争议金额与时间、费用成本。
## 专家组英文原文
Know filing, constitution, terms of reference, hearings, and the New York Convention enforcement path. Compare cost and time to the amount in dispute before filing.
## 训练迁移
在模拟训练中，先识别相关现象，再说明使用本知识或策略的理由，最后给出可执行的商务表达或处理步骤。</x:v>
      </x:c>
      <x:c r="F99" s="26" t="str">
        <x:v>published</x:v>
      </x:c>
    </x:row>
    <x:row r="100">
      <x:c r="A100" s="24" t="str">
        <x:v>K099</x:v>
      </x:c>
      <x:c r="B100" s="25" t="str">
        <x:v>KnowledgeResource</x:v>
      </x:c>
      <x:c r="C100" s="25" t="str">
        <x:v>准据法与管辖权</x:v>
      </x:c>
      <x:c r="D100" s="25" t="str">
        <x:v>买卖合同准据法、仲裁协议准据法和仲裁地法是三个不同问题，留空容易引发择地诉讼。</x:v>
      </x:c>
      <x:c r="E100" s="25" t="str">
        <x:v># 准据法与管辖权
## 学习目标
理解“准据法与管辖权”的核心含义、适用边界，并能在外贸谈判局面中作出有依据的行动。
## 理论精讲
买卖合同准据法、仲裁协议准据法和仲裁地法是三个不同问题，留空容易引发择地诉讼。
## 专家组英文原文
Governing law of the sale, law of the arbitration agreement, and law of the seat are three different questions. Leaving them blank invites forum shopping.
## 训练迁移
在模拟训练中，先识别相关现象，再说明使用本知识或策略的理由，最后给出可执行的商务表达或处理步骤。</x:v>
      </x:c>
      <x:c r="F100" s="26" t="str">
        <x:v>published</x:v>
      </x:c>
    </x:row>
    <x:row r="101">
      <x:c r="A101" s="24" t="str">
        <x:v>K100</x:v>
      </x:c>
      <x:c r="B101" s="25" t="str">
        <x:v>KnowledgeResource</x:v>
      </x:c>
      <x:c r="C101" s="25" t="str">
        <x:v>保险与仲裁的跨文化差异</x:v>
      </x:c>
      <x:c r="D101" s="25" t="str">
        <x:v>有些文化倾向调解和关系修复，有些直接进入仲裁；应把争议条款解释为公平机制，而非不信任信号。</x:v>
      </x:c>
      <x:c r="E101" s="25" t="str">
        <x:v># 保险与仲裁的跨文化差异
## 学习目标
理解“保险与仲裁的跨文化差异”的核心含义、适用边界，并能在外贸谈判局面中作出有依据的行动。
## 理论精讲
有些文化倾向调解和关系修复，有些直接进入仲裁；应把争议条款解释为公平机制，而非不信任信号。
## 专家组英文原文
Some cultures prefer mediation and relationship repair; others go straight to a tribunal. Explain the clause as a fairness device, not as a lack of trust.
## 训练迁移
在模拟训练中，先识别相关现象，再说明使用本知识或策略的理由，最后给出可执行的商务表达或处理步骤。</x:v>
      </x:c>
      <x:c r="F101" s="26" t="str">
        <x:v>published</x:v>
      </x:c>
    </x:row>
    <x:row r="102">
      <x:c r="A102" s="24" t="str">
        <x:v>K101</x:v>
      </x:c>
      <x:c r="B102" s="25" t="str">
        <x:v>KnowledgeResource</x:v>
      </x:c>
      <x:c r="C102" s="25" t="str">
        <x:v>投诉的定义与分类</x:v>
      </x:c>
      <x:c r="D102" s="25" t="str">
        <x:v>投诉是可能但不必然发展为法律索赔的不满表达，应按质量、数量、迟延、包装、单证或服务分类处理。</x:v>
      </x:c>
      <x:c r="E102" s="25" t="str">
        <x:v># 投诉的定义与分类
## 学习目标
理解“投诉的定义与分类”的核心含义、适用边界，并能在外贸谈判局面中作出有依据的行动。
## 理论精讲
投诉是可能但不必然发展为法律索赔的不满表达，应按质量、数量、迟延、包装、单证或服务分类处理。
## 专家组英文原文
A complaint is an expression of dissatisfaction that may or may not become a legal claim. Classify by quality, quantity, delay, packing, docs, or service to choose the path.
## 训练迁移
在模拟训练中，先识别相关现象，再说明使用本知识或策略的理由，最后给出可执行的商务表达或处理步骤。</x:v>
      </x:c>
      <x:c r="F102" s="26" t="str">
        <x:v>published</x:v>
      </x:c>
    </x:row>
    <x:row r="103">
      <x:c r="A103" s="24" t="str">
        <x:v>K102</x:v>
      </x:c>
      <x:c r="B103" s="25" t="str">
        <x:v>KnowledgeResource</x:v>
      </x:c>
      <x:c r="C103" s="25" t="str">
        <x:v>投诉处理原则与流程</x:v>
      </x:c>
      <x:c r="D103" s="25" t="str">
        <x:v>先确认收悉、固定事实、指定负责人、调查并提供选项，最后书面结案；只求速度而无事实基础容易形成不当承认。</x:v>
      </x:c>
      <x:c r="E103" s="25" t="str">
        <x:v># 投诉处理原则与流程
## 学习目标
理解“投诉处理原则与流程”的核心含义、适用边界，并能在外贸谈判局面中作出有依据的行动。
## 理论精讲
先确认收悉、固定事实、指定负责人、调查并提供选项，最后书面结案；只求速度而无事实基础容易形成不当承认。
## 专家组英文原文
Acknowledge, freeze the facts, assign an owner, investigate, respond with options, and close with a written outcome. Speed without facts creates admissions.
## 训练迁移
在模拟训练中，先识别相关现象，再说明使用本知识或策略的理由，最后给出可执行的商务表达或处理步骤。</x:v>
      </x:c>
      <x:c r="F103" s="26" t="str">
        <x:v>published</x:v>
      </x:c>
    </x:row>
    <x:row r="104">
      <x:c r="A104" s="24" t="str">
        <x:v>K103</x:v>
      </x:c>
      <x:c r="B104" s="25" t="str">
        <x:v>NegotiationStrategy</x:v>
      </x:c>
      <x:c r="C104" s="25" t="str">
        <x:v>沟通、倾听与客户服务语言</x:v>
      </x:c>
      <x:c r="D104" s="25" t="str">
        <x:v>先倾听并复述诉求，区分人与问题，避免过早归责；书面回复应客观、注明日期且不激化冲突。</x:v>
      </x:c>
      <x:c r="E104" s="25" t="str">
        <x:v># 沟通、倾听与客户服务语言
## 学习目标
理解“沟通、倾听与客户服务语言”的核心含义、适用边界，并能在外贸谈判局面中作出有依据的行动。
## 理论精讲
先倾听并复述诉求，区分人与问题，避免过早归责；书面回复应客观、注明日期且不激化冲突。
## 专家组英文原文
Listen first, restate the grievance, separate person from problem, and avoid premature blame. Written replies should be factual, dated, and non-inflammatory.
## 训练迁移
在模拟训练中，先识别相关现象，再说明使用本知识或策略的理由，最后给出可执行的商务表达或处理步骤。</x:v>
      </x:c>
      <x:c r="F104" s="26" t="str">
        <x:v>published</x:v>
      </x:c>
    </x:row>
    <x:row r="105">
      <x:c r="A105" s="24" t="str">
        <x:v>K104</x:v>
      </x:c>
      <x:c r="B105" s="25" t="str">
        <x:v>NegotiationStrategy</x:v>
      </x:c>
      <x:c r="C105" s="25" t="str">
        <x:v>客户心理分析与服务补救</x:v>
      </x:c>
      <x:c r="D105" s="25" t="str">
        <x:v>合理投诉可通过道歉、补救和预防恢复信任；不合理投诉也应以证据和尊重明确拒绝，而非说教。</x:v>
      </x:c>
      <x:c r="E105" s="25" t="str">
        <x:v># 客户心理分析与服务补救
## 学习目标
理解“客户心理分析与服务补救”的核心含义、适用边界，并能在外贸谈判局面中作出有依据的行动。
## 理论精讲
合理投诉可通过道歉、补救和预防恢复信任；不合理投诉也应以证据和尊重明确拒绝，而非说教。
## 专家组英文原文
A justified complaint is a chance to recover trust (apology + remedy + prevention). An unjustified one still needs a respectful 'no' with evidence, not a lecture.
## 训练迁移
在模拟训练中，先识别相关现象，再说明使用本知识或策略的理由，最后给出可执行的商务表达或处理步骤。</x:v>
      </x:c>
      <x:c r="F105" s="26" t="str">
        <x:v>published</x:v>
      </x:c>
    </x:row>
    <x:row r="106">
      <x:c r="A106" s="24" t="str">
        <x:v>K105</x:v>
      </x:c>
      <x:c r="B106" s="25" t="str">
        <x:v>KnowledgeResource</x:v>
      </x:c>
      <x:c r="C106" s="25" t="str">
        <x:v>投诉预防、记录与反馈机制</x:v>
      </x:c>
      <x:c r="D106" s="25" t="str">
        <x:v>记录每次投诉、标注根因并反馈生产、包装和销售；只有形成质量闭环，才能避免同类投诉重复发生。</x:v>
      </x:c>
      <x:c r="E106" s="25" t="str">
        <x:v># 投诉预防、记录与反馈机制
## 学习目标
理解“投诉预防、记录与反馈机制”的核心含义、适用边界，并能在外贸谈判局面中作出有依据的行动。
## 理论精讲
记录每次投诉、标注根因并反馈生产、包装和销售；只有形成质量闭环，才能避免同类投诉重复发生。
## 专家组英文原文
Log every complaint, tag root cause, and feed production, packing, and sales. Unlogged complaints repeat; logged ones become a quality system.
## 训练迁移
在模拟训练中，先识别相关现象，再说明使用本知识或策略的理由，最后给出可执行的商务表达或处理步骤。</x:v>
      </x:c>
      <x:c r="F106" s="26" t="str">
        <x:v>published</x:v>
      </x:c>
    </x:row>
    <x:row r="107">
      <x:c r="A107" s="24" t="str">
        <x:v>K106</x:v>
      </x:c>
      <x:c r="B107" s="25" t="str">
        <x:v>KnowledgeResource</x:v>
      </x:c>
      <x:c r="C107" s="25" t="str">
        <x:v>投诉处理的跨文化差异</x:v>
      </x:c>
      <x:c r="D107" s="25" t="str">
        <x:v>直接承认在某些文化中是必要礼仪，在另一些文化中可能被视为全面认责；沟通脚本与法律立场应分别管理。</x:v>
      </x:c>
      <x:c r="E107" s="25" t="str">
        <x:v># 投诉处理的跨文化差异
## 学习目标
理解“投诉处理的跨文化差异”的核心含义、适用边界，并能在外贸谈判局面中作出有依据的行动。
## 理论精讲
直接承认在某些文化中是必要礼仪，在另一些文化中可能被视为全面认责；沟通脚本与法律立场应分别管理。
## 专家组英文原文
Direct admission may be expected in one culture and treated as a confession of full liability in another. Match the script; keep the legal position in writing.
## 训练迁移
在模拟训练中，先识别相关现象，再说明使用本知识或策略的理由，最后给出可执行的商务表达或处理步骤。</x:v>
      </x:c>
      <x:c r="F107" s="26" t="str">
        <x:v>published</x:v>
      </x:c>
    </x:row>
    <x:row r="108">
      <x:c r="A108" s="24" t="str">
        <x:v>K107</x:v>
      </x:c>
      <x:c r="B108" s="25" t="str">
        <x:v>KnowledgeResource</x:v>
      </x:c>
      <x:c r="C108" s="25" t="str">
        <x:v>客户满意度评估</x:v>
      </x:c>
      <x:c r="D108" s="25" t="str">
        <x:v>结案后评估买方是否愿意再次下单；满意度是商业指标，不能替代完整的法律与证据档案。</x:v>
      </x:c>
      <x:c r="E108" s="25" t="str">
        <x:v># 客户满意度评估
## 学习目标
理解“客户满意度评估”的核心含义、适用边界，并能在外贸谈判局面中作出有依据的行动。
## 理论精讲
结案后评估买方是否愿意再次下单；满意度是商业指标，不能替代完整的法律与证据档案。
## 专家组英文原文
After closing, measure whether the buyer will reorder. Satisfaction is a commercial KPI, not a substitute for the legal file.
## 训练迁移
在模拟训练中，先识别相关现象，再说明使用本知识或策略的理由，最后给出可执行的商务表达或处理步骤。</x:v>
      </x:c>
      <x:c r="F108" s="26" t="str">
        <x:v>published</x:v>
      </x:c>
    </x:row>
    <x:row r="109">
      <x:c r="A109" s="24" t="str">
        <x:v>K108</x:v>
      </x:c>
      <x:c r="B109" s="25" t="str">
        <x:v>KnowledgeResource</x:v>
      </x:c>
      <x:c r="C109" s="25" t="str">
        <x:v>投诉法律风险与声誉管理</x:v>
      </x:c>
      <x:c r="D109" s="25" t="str">
        <x:v>公开或草率回复可能构成不当承认、诽谤或社交媒体危机，应区分客户服务渠道和正式法律通知渠道。</x:v>
      </x:c>
      <x:c r="E109" s="25" t="str">
        <x:v># 投诉法律风险与声誉管理
## 学习目标
理解“投诉法律风险与声誉管理”的核心含义、适用边界，并能在外贸谈判局面中作出有依据的行动。
## 理论精讲
公开或草率回复可能构成不当承认、诽谤或社交媒体危机，应区分客户服务渠道和正式法律通知渠道。
## 专家组英文原文
Public or careless replies create admissions, defamation, or social-media damage. Separate the customer-care channel from the legal-notice channel.
## 训练迁移
在模拟训练中，先识别相关现象，再说明使用本知识或策略的理由，最后给出可执行的商务表达或处理步骤。</x:v>
      </x:c>
      <x:c r="F109" s="26" t="str">
        <x:v>published</x:v>
      </x:c>
    </x:row>
    <x:row r="110">
      <x:c r="A110" s="24" t="str">
        <x:v>K109</x:v>
      </x:c>
      <x:c r="B110" s="25" t="str">
        <x:v>KnowledgeResource</x:v>
      </x:c>
      <x:c r="C110" s="25" t="str">
        <x:v>根因分析与争议调解</x:v>
      </x:c>
      <x:c r="D110" s="25" t="str">
        <x:v>运用“五问法”或鱼骨图分析重复缺陷，并在立场固化前提出调解，以保存仲裁难以维持的商业关系。</x:v>
      </x:c>
      <x:c r="E110" s="25" t="str">
        <x:v># 根因分析与争议调解
## 学习目标
理解“根因分析与争议调解”的核心含义、适用边界，并能在外贸谈判局面中作出有依据的行动。
## 理论精讲
运用“五问法”或鱼骨图分析重复缺陷，并在立场固化前提出调解，以保存仲裁难以维持的商业关系。
## 专家组英文原文
Use 5-Why / fishbone on repeating defects, and offer mediation before positions harden. Mediation preserves the relationship that arbitration will not.
## 训练迁移
在模拟训练中，先识别相关现象，再说明使用本知识或策略的理由，最后给出可执行的商务表达或处理步骤。</x:v>
      </x:c>
      <x:c r="F110" s="26" t="str">
        <x:v>published</x:v>
      </x:c>
    </x:row>
    <x:row r="111">
      <x:c r="A111" s="24" t="str">
        <x:v>K110</x:v>
      </x:c>
      <x:c r="B111" s="25" t="str">
        <x:v>KnowledgeResource</x:v>
      </x:c>
      <x:c r="C111" s="25" t="str">
        <x:v>索赔的定义</x:v>
      </x:c>
      <x:c r="D111" s="25" t="str">
        <x:v>索赔是依据法律基础和证据，正式请求修理、更换、减价或损害赔偿等合同或合同外救济。</x:v>
      </x:c>
      <x:c r="E111" s="25" t="str">
        <x:v># 索赔的定义
## 学习目标
理解“索赔的定义”的核心含义、适用边界，并能在外贸谈判局面中作出有依据的行动。
## 理论精讲
索赔是依据法律基础和证据，正式请求修理、更换、减价或损害赔偿等合同或合同外救济。
## 专家组英文原文
A claim is a formal demand for a contractual or extra-contractual remedy (repair, replacement, price reduction, damages) supported by a legal basis and evidence.
## 训练迁移
在模拟训练中，先识别相关现象，再说明使用本知识或策略的理由，最后给出可执行的商务表达或处理步骤。</x:v>
      </x:c>
      <x:c r="F111" s="26" t="str">
        <x:v>published</x:v>
      </x:c>
    </x:row>
    <x:row r="112">
      <x:c r="A112" s="24" t="str">
        <x:v>K111</x:v>
      </x:c>
      <x:c r="B112" s="25" t="str">
        <x:v>KnowledgeResource</x:v>
      </x:c>
      <x:c r="C112" s="25" t="str">
        <x:v>索赔程序</x:v>
      </x:c>
      <x:c r="D112" s="25" t="str">
        <x:v>在期限内通知、保全货物、联合检验、附证据量化请求，随后协商或起诉；漏发通知是代价最高的程序错误之一。</x:v>
      </x:c>
      <x:c r="E112" s="25" t="str">
        <x:v># 索赔程序
## 学习目标
理解“索赔程序”的核心含义、适用边界，并能在外贸谈判局面中作出有依据的行动。
## 理论精讲
在期限内通知、保全货物、联合检验、附证据量化请求，随后协商或起诉；漏发通知是代价最高的程序错误之一。
## 专家组英文原文
Notice within time → preserve cargo → joint survey → quantified demand with documents → negotiate or file. Skipping notice is the most expensive procedural error.
## 训练迁移
在模拟训练中，先识别相关现象，再说明使用本知识或策略的理由，最后给出可执行的商务表达或处理步骤。</x:v>
      </x:c>
      <x:c r="F112" s="26" t="str">
        <x:v>published</x:v>
      </x:c>
    </x:row>
    <x:row r="113">
      <x:c r="A113" s="24" t="str">
        <x:v>K112</x:v>
      </x:c>
      <x:c r="B113" s="25" t="str">
        <x:v>KnowledgeResource</x:v>
      </x:c>
      <x:c r="C113" s="25" t="str">
        <x:v>证据收集与证据链完整性</x:v>
      </x:c>
      <x:c r="D113" s="25" t="str">
        <x:v>封志、照片、检验报告、温度记录和函电应保持未经篡改且相互关联，断裂的证据链可能被视为没有证据。</x:v>
      </x:c>
      <x:c r="E113" s="25" t="str">
        <x:v># 证据收集与证据链完整性
## 学习目标
理解“证据收集与证据链完整性”的核心含义、适用边界，并能在外贸谈判局面中作出有依据的行动。
## 理论精讲
封志、照片、检验报告、温度记录和函电应保持未经篡改且相互关联，断裂的证据链可能被视为没有证据。
## 专家组英文原文
Keep seals, photos, survey reports, temperature logs, and correspondence in an unaltered chain. A broken chain is treated as no evidence.
## 训练迁移
在模拟训练中，先识别相关现象，再说明使用本知识或策略的理由，最后给出可执行的商务表达或处理步骤。</x:v>
      </x:c>
      <x:c r="F113" s="26" t="str">
        <x:v>published</x:v>
      </x:c>
    </x:row>
    <x:row r="114">
      <x:c r="A114" s="24" t="str">
        <x:v>K113</x:v>
      </x:c>
      <x:c r="B114" s="25" t="str">
        <x:v>KnowledgeResource</x:v>
      </x:c>
      <x:c r="C114" s="25" t="str">
        <x:v>索赔与诉讼时效</x:v>
      </x:c>
      <x:c r="D114" s="25" t="str">
        <x:v>合同通知期通常短于 CISG、海牙—维斯比规则或当地法的诉讼时效，两类期限都应单独登记，遗漏任一都可能丧失权利。</x:v>
      </x:c>
      <x:c r="E114" s="25" t="str">
        <x:v># 索赔与诉讼时效
## 学习目标
理解“索赔与诉讼时效”的核心含义、适用边界，并能在外贸谈判局面中作出有依据的行动。
## 理论精讲
合同通知期通常短于 CISG、海牙—维斯比规则或当地法的诉讼时效，两类期限都应单独登记，遗漏任一都可能丧失权利。
## 专家组英文原文
Contractual notice periods (often 30 days after arrival) sit inside longer limitation periods (CISG, Hague-Visby, local law). Diary both; missing either kills the claim.
## 训练迁移
在模拟训练中，先识别相关现象，再说明使用本知识或策略的理由，最后给出可执行的商务表达或处理步骤。</x:v>
      </x:c>
      <x:c r="F114" s="26" t="str">
        <x:v>published</x:v>
      </x:c>
    </x:row>
    <x:row r="115">
      <x:c r="A115" s="24" t="str">
        <x:v>K114</x:v>
      </x:c>
      <x:c r="B115" s="25" t="str">
        <x:v>KnowledgeResource</x:v>
      </x:c>
      <x:c r="C115" s="25" t="str">
        <x:v>不可抗力条款与案例</x:v>
      </x:c>
      <x:c r="D115" s="25" t="str">
        <x:v>不可抗力针对不可预见、不可避免且超出控制并阻碍履约的事件，不等同于经营困难或不利交易，仍负有通知和减损义务。</x:v>
      </x:c>
      <x:c r="E115" s="25" t="str">
        <x:v># 不可抗力条款与案例
## 学习目标
理解“不可抗力条款与案例”的核心含义、适用边界，并能在外贸谈判局面中作出有依据的行动。
## 理论精讲
不可抗力针对不可预见、不可避免且超出控制并阻碍履约的事件，不等同于经营困难或不利交易，仍负有通知和减损义务。
## 专家组英文原文
FM covers unforeseeable, unavoidable events beyond control that prevent performance — not hardship, not a bad bargain. Notice and mitigation duties still apply.
## 训练迁移
在模拟训练中，先识别相关现象，再说明使用本知识或策略的理由，最后给出可执行的商务表达或处理步骤。</x:v>
      </x:c>
      <x:c r="F115" s="26" t="str">
        <x:v>published</x:v>
      </x:c>
    </x:row>
    <x:row r="116">
      <x:c r="A116" s="24" t="str">
        <x:v>K115</x:v>
      </x:c>
      <x:c r="B116" s="25" t="str">
        <x:v>KnowledgeResource</x:v>
      </x:c>
      <x:c r="C116" s="25" t="str">
        <x:v>赔偿金额计算</x:v>
      </x:c>
      <x:c r="D116" s="25" t="str">
        <x:v>依 CISG 第74条，赔偿包括可预见且已减损的实际损失和利润损失，应以发票、替代交易和可复核计算表证明。</x:v>
      </x:c>
      <x:c r="E116" s="25" t="str">
        <x:v># 赔偿金额计算
## 学习目标
理解“赔偿金额计算”的核心含义、适用边界，并能在外贸谈判局面中作出有依据的行动。
## 理论精讲
依 CISG 第74条，赔偿包括可预见且已减损的实际损失和利润损失，应以发票、替代交易和可复核计算表证明。
## 专家组英文原文
CISG Art. 74: loss suffered plus lost profit, foreseeable, mitigated. Support with invoices, cover purchases, and a calculation sheet the counterpart can audit.
## 训练迁移
在模拟训练中，先识别相关现象，再说明使用本知识或策略的理由，最后给出可执行的商务表达或处理步骤。</x:v>
      </x:c>
      <x:c r="F116" s="26" t="str">
        <x:v>published</x:v>
      </x:c>
    </x:row>
    <x:row r="117">
      <x:c r="A117" s="24" t="str">
        <x:v>K116</x:v>
      </x:c>
      <x:c r="B117" s="25" t="str">
        <x:v>KnowledgeResource</x:v>
      </x:c>
      <x:c r="C117" s="25" t="str">
        <x:v>索赔与和解的跨文化差异</x:v>
      </x:c>
      <x:c r="D117" s="25" t="str">
        <x:v>有些对方期待关系折扣，有些期待律师函；开场语气应适配文化，随后回到数字和单证。</x:v>
      </x:c>
      <x:c r="E117" s="25" t="str">
        <x:v># 索赔与和解的跨文化差异
## 学习目标
理解“索赔与和解的跨文化差异”的核心含义、适用边界，并能在外贸谈判局面中作出有依据的行动。
## 理论精讲
有些对方期待关系折扣，有些期待律师函；开场语气应适配文化，随后回到数字和单证。
## 专家组英文原文
Some counterparts expect a relationship discount; others expect a lawyer’s letter. Choose the opening tone to the culture, then move to numbers and documents.
## 训练迁移
在模拟训练中，先识别相关现象，再说明使用本知识或策略的理由，最后给出可执行的商务表达或处理步骤。</x:v>
      </x:c>
      <x:c r="F117" s="26" t="str">
        <x:v>published</x:v>
      </x:c>
    </x:row>
    <x:row r="118">
      <x:c r="A118" s="24" t="str">
        <x:v>K117</x:v>
      </x:c>
      <x:c r="B118" s="25" t="str">
        <x:v>KnowledgeResource</x:v>
      </x:c>
      <x:c r="C118" s="25" t="str">
        <x:v>承运人责任与事故处理</x:v>
      </x:c>
      <x:c r="D118" s="25" t="str">
        <x:v>依贸易术语和提单识别损失应由卖方、买方、承运人或保险人承担，并及时通知承运人，避免向错误主体索赔而超时。</x:v>
      </x:c>
      <x:c r="E118" s="25" t="str">
        <x:v># 承运人责任与事故处理
## 学习目标
理解“承运人责任与事故处理”的核心含义、适用边界，并能在外贸谈判局面中作出有依据的行动。
## 理论精讲
依贸易术语和提单识别损失应由卖方、买方、承运人或保险人承担，并及时通知承运人，避免向错误主体索赔而超时。
## 专家组英文原文
Identify whether the loss sits with seller, buyer, carrier, or insurer under the Incoterm and the B/L. Notify the carrier in time; do not let the wrong defendant run out the clock.
## 训练迁移
在模拟训练中，先识别相关现象，再说明使用本知识或策略的理由，最后给出可执行的商务表达或处理步骤。</x:v>
      </x:c>
      <x:c r="F118" s="26" t="str">
        <x:v>published</x:v>
      </x:c>
    </x:row>
    <x:row r="119">
      <x:c r="A119" s="27" t="str">
        <x:v>K118</x:v>
      </x:c>
      <x:c r="B119" s="28" t="str">
        <x:v>NegotiationStrategy</x:v>
      </x:c>
      <x:c r="C119" s="28" t="str">
        <x:v>索赔谈判、和解、调解与诉讼</x:v>
      </x:c>
      <x:c r="D119" s="28" t="str">
        <x:v>以调解、仲裁或诉讼作为 BATNA 谈判赔偿金额；和解协议应明确最终性、范围及是否承认责任。</x:v>
      </x:c>
      <x:c r="E119" s="28" t="str">
        <x:v># 索赔谈判、和解、调解与诉讼
## 学习目标
理解“索赔谈判、和解、调解与诉讼”的核心含义、适用边界，并能在外贸谈判局面中作出有依据的行动。
## 理论精讲
以调解、仲裁或诉讼作为 BATNA 谈判赔偿金额；和解协议应明确最终性、范围及是否承认责任。
## 专家组英文原文
Negotiate quantum with a BATNA (mediation, arbitration, court). Settlement agreements should be final, scoped, and silent on admission unless that is the price of peace.
## 训练迁移
在模拟训练中，先识别相关现象，再说明使用本知识或策略的理由，最后给出可执行的商务表达或处理步骤。</x:v>
      </x:c>
      <x:c r="F119" s="29" t="str">
        <x:v>published</x:v>
      </x:c>
    </x:row>
  </x:sheetData>
  <x:pageMargins left="0.7" right="0.7" top="0.75" bottom="0.75" header="0.3" footer="0.3"/>
  <x:tableParts count="1">
    <x:tablePart xmlns:r="http://schemas.openxmlformats.org/officeDocument/2006/relationships" r:id="Rd73cc30e3f46499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8" customHeight="1">
      <x:c r="A1" s="30" t="str">
        <x:v>TRADEGRAPH · 专家组三层外贸谈判知识图谱</x:v>
      </x:c>
      <x:c r="B1" s="31"/>
      <x:c r="C1" s="31"/>
      <x:c r="D1" s="31"/>
      <x:c r="E1" s="31"/>
      <x:c r="F1" s="32"/>
    </x:row>
    <x:row r="2">
      <x:c r="A2" s="33"/>
      <x:c r="B2" s="34"/>
      <x:c r="C2" s="34"/>
      <x:c r="D2" s="34"/>
      <x:c r="E2" s="34"/>
      <x:c r="F2" s="35"/>
    </x:row>
    <x:row r="3" ht="54" customHeight="1">
      <x:c r="A3" s="36" t="str">
        <x:v>一级为完整外贸流程；二级把各阶段转化为可观察、可解决的业务现象；三级提供诊断、预防和处理现象所需的知识与策略。教学设计从待解决的现象反向选择知识，同一三级节点可以服务多个现象。</x:v>
      </x:c>
      <x:c r="B3" s="37"/>
      <x:c r="C3" s="37"/>
      <x:c r="D3" s="37"/>
      <x:c r="E3" s="37"/>
      <x:c r="F3" s="38"/>
    </x:row>
    <x:row r="4">
      <x:c r="A4" s="33"/>
      <x:c r="B4" s="34"/>
      <x:c r="C4" s="34"/>
      <x:c r="D4" s="34"/>
      <x:c r="E4" s="34"/>
      <x:c r="F4" s="35"/>
    </x:row>
    <x:row r="5">
      <x:c r="A5" s="39" t="str">
        <x:v>层级</x:v>
      </x:c>
      <x:c r="B5" s="40" t="str">
        <x:v>数量</x:v>
      </x:c>
      <x:c r="C5" s="40" t="str">
        <x:v>教学含义</x:v>
      </x:c>
      <x:c r="D5" s="34"/>
      <x:c r="E5" s="34"/>
      <x:c r="F5" s="35"/>
    </x:row>
    <x:row r="6">
      <x:c r="A6" s="41" t="str">
        <x:v>一级主题 Stage</x:v>
      </x:c>
      <x:c r="B6" s="42" t="n">
        <x:v>9</x:v>
      </x:c>
      <x:c r="C6" s="42" t="str">
        <x:v>完整外贸流程的九个连续阶段</x:v>
      </x:c>
      <x:c r="D6" s="34"/>
      <x:c r="E6" s="34"/>
      <x:c r="F6" s="35"/>
    </x:row>
    <x:row r="7">
      <x:c r="A7" s="41" t="str">
        <x:v>二级现象 Phenomenon</x:v>
      </x:c>
      <x:c r="B7" s="42" t="n">
        <x:v>66</x:v>
      </x:c>
      <x:c r="C7" s="42" t="str">
        <x:v>OBE 中学生必须能够识别和处理的真实业务问题</x:v>
      </x:c>
      <x:c r="D7" s="34"/>
      <x:c r="E7" s="34"/>
      <x:c r="F7" s="35"/>
    </x:row>
    <x:row r="8">
      <x:c r="A8" s="41" t="str">
        <x:v>三级知识与策略</x:v>
      </x:c>
      <x:c r="B8" s="42" t="n">
        <x:v>118</x:v>
      </x:c>
      <x:c r="C8" s="42" t="str">
        <x:v>用于诊断、预防或解决现象的可复用支持</x:v>
      </x:c>
      <x:c r="D8" s="34"/>
      <x:c r="E8" s="34"/>
      <x:c r="F8" s="35"/>
    </x:row>
    <x:row r="9">
      <x:c r="A9" s="41" t="str">
        <x:v>定向关系</x:v>
      </x:c>
      <x:c r="B9" s="42" t="n">
        <x:v>298</x:v>
      </x:c>
      <x:c r="C9" s="42" t="str">
        <x:v>每条关系保留专家组英文说明及中文教学说明</x:v>
      </x:c>
      <x:c r="D9" s="34"/>
      <x:c r="E9" s="34"/>
      <x:c r="F9" s="35"/>
    </x:row>
    <x:row r="10">
      <x:c r="A10" s="33"/>
      <x:c r="B10" s="34"/>
      <x:c r="C10" s="34"/>
      <x:c r="D10" s="34"/>
      <x:c r="E10" s="34"/>
      <x:c r="F10" s="35"/>
    </x:row>
    <x:row r="11">
      <x:c r="A11" s="39" t="str">
        <x:v>数据治理说明</x:v>
      </x:c>
      <x:c r="B11" s="40"/>
      <x:c r="C11" s="40"/>
      <x:c r="D11" s="40"/>
      <x:c r="E11" s="40"/>
      <x:c r="F11" s="43"/>
    </x:row>
    <x:row r="12">
      <x:c r="A12" s="41" t="str">
        <x:v>权威事实源</x:v>
      </x:c>
      <x:c r="B12" s="42" t="str">
        <x:v>Stages、Phenomena、KnowledgeResources、NegotiationStrategies、GraphRelations(Edges)</x:v>
      </x:c>
      <x:c r="C12" s="42"/>
      <x:c r="D12" s="42"/>
      <x:c r="E12" s="42"/>
      <x:c r="F12" s="44"/>
    </x:row>
    <x:row r="13">
      <x:c r="A13" s="41" t="str">
        <x:v>训练兼容层</x:v>
      </x:c>
      <x:c r="B13" s="42" t="str">
        <x:v>Scenarios 将现有 20 个课程关卡挂接到九个一级主题，不复制专家现象。</x:v>
      </x:c>
      <x:c r="C13" s="42"/>
      <x:c r="D13" s="42"/>
      <x:c r="E13" s="42"/>
      <x:c r="F13" s="44"/>
    </x:row>
    <x:row r="14">
      <x:c r="A14" s="41" t="str">
        <x:v>中文与审计</x:v>
      </x:c>
      <x:c r="B14" s="42" t="str">
        <x:v>所有节点同时保留中文教学字段和专家英文原文；稳定 ID 不因翻译改变。</x:v>
      </x:c>
      <x:c r="C14" s="42"/>
      <x:c r="D14" s="42"/>
      <x:c r="E14" s="42"/>
      <x:c r="F14" s="44"/>
    </x:row>
    <x:row r="15">
      <x:c r="A15" s="45" t="str">
        <x:v>派生视图</x:v>
      </x:c>
      <x:c r="B15" s="46" t="str">
        <x:v>Expert_Master_Graph_ZH、Expert_Knowledge_Index_ZH、Expert_Coverage_ZH 仅用于审阅与质量检查。</x:v>
      </x:c>
      <x:c r="C15" s="46"/>
      <x:c r="D15" s="46"/>
      <x:c r="E15" s="46"/>
      <x:c r="F15" s="47"/>
    </x:row>
  </x:sheetData>
  <x:mergeCells>
    <x:mergeCell ref="A1:F1"/>
    <x:mergeCell ref="A3:F3"/>
    <x:mergeCell ref="A11:F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4" hidden="0" customWidth="1"/>
    <x:col min="5" max="5" width="30" hidden="0" customWidth="1"/>
    <x:col min="6" max="6" width="10" hidden="0" customWidth="1"/>
    <x:col min="7" max="7" width="12" hidden="0" customWidth="1"/>
    <x:col min="8" max="8" width="30" hidden="0" customWidth="1"/>
    <x:col min="9" max="9" width="14" hidden="0" customWidth="1"/>
    <x:col min="10" max="10" width="62" hidden="0" customWidth="1"/>
    <x:col min="11" max="11" width="72" hidden="0" customWidth="1"/>
  </x:cols>
  <x:sheetData>
    <x:row r="1" ht="30" customHeight="1">
      <x:c r="A1" s="21" t="str">
        <x:v>顺序</x:v>
      </x:c>
      <x:c r="B1" s="22" t="str">
        <x:v>主题ID</x:v>
      </x:c>
      <x:c r="C1" s="22" t="str">
        <x:v>一级主题</x:v>
      </x:c>
      <x:c r="D1" s="22" t="str">
        <x:v>现象ID</x:v>
      </x:c>
      <x:c r="E1" s="22" t="str">
        <x:v>二级业务现象</x:v>
      </x:c>
      <x:c r="F1" s="22" t="str">
        <x:v>风险</x:v>
      </x:c>
      <x:c r="G1" s="22" t="str">
        <x:v>知识ID</x:v>
      </x:c>
      <x:c r="H1" s="22" t="str">
        <x:v>三级知识或策略</x:v>
      </x:c>
      <x:c r="I1" s="22" t="str">
        <x:v>类型</x:v>
      </x:c>
      <x:c r="J1" s="22" t="str">
        <x:v>中文作用说明</x:v>
      </x:c>
      <x:c r="K1" s="23" t="str">
        <x:v>专家英文原文</x:v>
      </x:c>
    </x:row>
    <x:row r="2">
      <x:c r="A2" s="24" t="n">
        <x:v>1</x:v>
      </x:c>
      <x:c r="B2" s="25" t="str">
        <x:v>S1</x:v>
      </x:c>
      <x:c r="C2" s="25" t="str">
        <x:v>询盘</x:v>
      </x:c>
      <x:c r="D2" s="25" t="str">
        <x:v>P1.01</x:v>
      </x:c>
      <x:c r="E2" s="25" t="str">
        <x:v>试探性询盘</x:v>
      </x:c>
      <x:c r="F2" s="25" t="str">
        <x:v>中</x:v>
      </x:c>
      <x:c r="G2" s="25" t="str">
        <x:v>K001</x:v>
      </x:c>
      <x:c r="H2" s="25" t="str">
        <x:v>询盘的定义</x:v>
      </x:c>
      <x:c r="I2" s="25" t="str">
        <x:v>概念</x:v>
      </x:c>
      <x:c r="J2" s="25" t="str">
        <x:v>“询盘的定义”可用于识别、预防或处理“试探性询盘”。</x:v>
      </x:c>
      <x:c r="K2" s="26" t="str">
        <x:v>Names the act: a fishing RFQ is still only an inquiry, not a deal.</x:v>
      </x:c>
    </x:row>
    <x:row r="3">
      <x:c r="A3" s="24" t="n">
        <x:v>1</x:v>
      </x:c>
      <x:c r="B3" s="25" t="str">
        <x:v>S1</x:v>
      </x:c>
      <x:c r="C3" s="25" t="str">
        <x:v>询盘</x:v>
      </x:c>
      <x:c r="D3" s="25" t="str">
        <x:v>P1.01</x:v>
      </x:c>
      <x:c r="E3" s="25" t="str">
        <x:v>试探性询盘</x:v>
      </x:c>
      <x:c r="F3" s="25" t="str">
        <x:v>中</x:v>
      </x:c>
      <x:c r="G3" s="25" t="str">
        <x:v>K002</x:v>
      </x:c>
      <x:c r="H3" s="25" t="str">
        <x:v>询盘的类型</x:v>
      </x:c>
      <x:c r="I3" s="25" t="str">
        <x:v>概念</x:v>
      </x:c>
      <x:c r="J3" s="25" t="str">
        <x:v>“询盘的类型”可用于识别、预防或处理“试探性询盘”。</x:v>
      </x:c>
      <x:c r="K3" s="26" t="str">
        <x:v>Tells you the counterpart is running a general, not a specific, inquiry.</x:v>
      </x:c>
    </x:row>
    <x:row r="4">
      <x:c r="A4" s="24" t="n">
        <x:v>1</x:v>
      </x:c>
      <x:c r="B4" s="25" t="str">
        <x:v>S1</x:v>
      </x:c>
      <x:c r="C4" s="25" t="str">
        <x:v>询盘</x:v>
      </x:c>
      <x:c r="D4" s="25" t="str">
        <x:v>P1.01</x:v>
      </x:c>
      <x:c r="E4" s="25" t="str">
        <x:v>试探性询盘</x:v>
      </x:c>
      <x:c r="F4" s="25" t="str">
        <x:v>中</x:v>
      </x:c>
      <x:c r="G4" s="25" t="str">
        <x:v>K003</x:v>
      </x:c>
      <x:c r="H4" s="25" t="str">
        <x:v>询盘的法律性质</x:v>
      </x:c>
      <x:c r="I4" s="25" t="str">
        <x:v>法律规则</x:v>
      </x:c>
      <x:c r="J4" s="25" t="str">
        <x:v>“询盘的法律性质”可用于识别、预防或处理“试探性询盘”。</x:v>
      </x:c>
      <x:c r="K4" s="26" t="str">
        <x:v>Keeps you from treating a fishing RFQ as a binding request.</x:v>
      </x:c>
    </x:row>
    <x:row r="5">
      <x:c r="A5" s="24" t="n">
        <x:v>1</x:v>
      </x:c>
      <x:c r="B5" s="25" t="str">
        <x:v>S1</x:v>
      </x:c>
      <x:c r="C5" s="25" t="str">
        <x:v>询盘</x:v>
      </x:c>
      <x:c r="D5" s="25" t="str">
        <x:v>P1.01</x:v>
      </x:c>
      <x:c r="E5" s="25" t="str">
        <x:v>试探性询盘</x:v>
      </x:c>
      <x:c r="F5" s="25" t="str">
        <x:v>中</x:v>
      </x:c>
      <x:c r="G5" s="25" t="str">
        <x:v>K005</x:v>
      </x:c>
      <x:c r="H5" s="25" t="str">
        <x:v>宽泛询盘策略</x:v>
      </x:c>
      <x:c r="I5" s="25" t="str">
        <x:v>策略</x:v>
      </x:c>
      <x:c r="J5" s="25" t="str">
        <x:v>运用“宽泛询盘策略”应对“试探性询盘”，把原则转化为可执行的谈判行动。</x:v>
      </x:c>
      <x:c r="K5" s="26" t="str">
        <x:v>Answers with a broad, low-commitment reply that does not leak your floor.</x:v>
      </x:c>
    </x:row>
    <x:row r="6">
      <x:c r="A6" s="24" t="n">
        <x:v>1</x:v>
      </x:c>
      <x:c r="B6" s="25" t="str">
        <x:v>S1</x:v>
      </x:c>
      <x:c r="C6" s="25" t="str">
        <x:v>询盘</x:v>
      </x:c>
      <x:c r="D6" s="25" t="str">
        <x:v>P1.01</x:v>
      </x:c>
      <x:c r="E6" s="25" t="str">
        <x:v>试探性询盘</x:v>
      </x:c>
      <x:c r="F6" s="25" t="str">
        <x:v>中</x:v>
      </x:c>
      <x:c r="G6" s="25" t="str">
        <x:v>K010</x:v>
      </x:c>
      <x:c r="H6" s="25" t="str">
        <x:v>询盘前信息收集与市场调研</x:v>
      </x:c>
      <x:c r="I6" s="25" t="str">
        <x:v>业务流程</x:v>
      </x:c>
      <x:c r="J6" s="25" t="str">
        <x:v>“询盘前信息收集与市场调研”可用于识别、预防或处理“试探性询盘”。</x:v>
      </x:c>
      <x:c r="K6" s="26" t="str">
        <x:v>Checks whether the inquirer is a real buyer before you invest in a full quote.</x:v>
      </x:c>
    </x:row>
    <x:row r="7">
      <x:c r="A7" s="24" t="n">
        <x:v>1</x:v>
      </x:c>
      <x:c r="B7" s="25" t="str">
        <x:v>S1</x:v>
      </x:c>
      <x:c r="C7" s="25" t="str">
        <x:v>询盘</x:v>
      </x:c>
      <x:c r="D7" s="25" t="str">
        <x:v>P1.01</x:v>
      </x:c>
      <x:c r="E7" s="25" t="str">
        <x:v>试探性询盘</x:v>
      </x:c>
      <x:c r="F7" s="25" t="str">
        <x:v>中</x:v>
      </x:c>
      <x:c r="G7" s="25" t="str">
        <x:v>K011</x:v>
      </x:c>
      <x:c r="H7" s="25" t="str">
        <x:v>询盘比较分析</x:v>
      </x:c>
      <x:c r="I7" s="25" t="str">
        <x:v>业务流程</x:v>
      </x:c>
      <x:c r="J7" s="25" t="str">
        <x:v>“询盘比较分析”可用于识别、预防或处理“试探性询盘”。</x:v>
      </x:c>
      <x:c r="K7" s="26" t="str">
        <x:v>Compares this RFQ with others to see if it is a serial fishing pattern.</x:v>
      </x:c>
    </x:row>
    <x:row r="8">
      <x:c r="A8" s="24" t="n">
        <x:v>1</x:v>
      </x:c>
      <x:c r="B8" s="25" t="str">
        <x:v>S1</x:v>
      </x:c>
      <x:c r="C8" s="25" t="str">
        <x:v>询盘</x:v>
      </x:c>
      <x:c r="D8" s="25" t="str">
        <x:v>P1.02</x:v>
      </x:c>
      <x:c r="E8" s="25" t="str">
        <x:v>询盘要素不完整</x:v>
      </x:c>
      <x:c r="F8" s="25" t="str">
        <x:v>中</x:v>
      </x:c>
      <x:c r="G8" s="25" t="str">
        <x:v>K006</x:v>
      </x:c>
      <x:c r="H8" s="25" t="str">
        <x:v>精准询盘策略</x:v>
      </x:c>
      <x:c r="I8" s="25" t="str">
        <x:v>策略</x:v>
      </x:c>
      <x:c r="J8" s="25" t="str">
        <x:v>运用“精准询盘策略”应对“询盘要素不完整”，把原则转化为可执行的谈判行动。</x:v>
      </x:c>
      <x:c r="K8" s="26" t="str">
        <x:v>Turns the incomplete RFQ into a precise one by asking for missing specs.</x:v>
      </x:c>
    </x:row>
    <x:row r="9">
      <x:c r="A9" s="24" t="n">
        <x:v>1</x:v>
      </x:c>
      <x:c r="B9" s="25" t="str">
        <x:v>S1</x:v>
      </x:c>
      <x:c r="C9" s="25" t="str">
        <x:v>询盘</x:v>
      </x:c>
      <x:c r="D9" s="25" t="str">
        <x:v>P1.02</x:v>
      </x:c>
      <x:c r="E9" s="25" t="str">
        <x:v>询盘要素不完整</x:v>
      </x:c>
      <x:c r="F9" s="25" t="str">
        <x:v>中</x:v>
      </x:c>
      <x:c r="G9" s="25" t="str">
        <x:v>K008</x:v>
      </x:c>
      <x:c r="H9" s="25" t="str">
        <x:v>询盘函结构与语言</x:v>
      </x:c>
      <x:c r="I9" s="25" t="str">
        <x:v>商务函电</x:v>
      </x:c>
      <x:c r="J9" s="25" t="str">
        <x:v>“询盘函结构与语言”可用于识别、预防或处理“询盘要素不完整”。</x:v>
      </x:c>
      <x:c r="K9" s="26" t="str">
        <x:v>Supplies the checklist of fields a usable inquiry must contain.</x:v>
      </x:c>
    </x:row>
    <x:row r="10">
      <x:c r="A10" s="24" t="n">
        <x:v>1</x:v>
      </x:c>
      <x:c r="B10" s="25" t="str">
        <x:v>S1</x:v>
      </x:c>
      <x:c r="C10" s="25" t="str">
        <x:v>询盘</x:v>
      </x:c>
      <x:c r="D10" s="25" t="str">
        <x:v>P1.02</x:v>
      </x:c>
      <x:c r="E10" s="25" t="str">
        <x:v>询盘要素不完整</x:v>
      </x:c>
      <x:c r="F10" s="25" t="str">
        <x:v>中</x:v>
      </x:c>
      <x:c r="G10" s="25" t="str">
        <x:v>K010</x:v>
      </x:c>
      <x:c r="H10" s="25" t="str">
        <x:v>询盘前信息收集与市场调研</x:v>
      </x:c>
      <x:c r="I10" s="25" t="str">
        <x:v>业务流程</x:v>
      </x:c>
      <x:c r="J10" s="25" t="str">
        <x:v>“询盘前信息收集与市场调研”可用于识别、预防或处理“询盘要素不完整”。</x:v>
      </x:c>
      <x:c r="K10" s="26" t="str">
        <x:v>Fills gaps with research rather than guessing destination or packing.</x:v>
      </x:c>
    </x:row>
    <x:row r="11">
      <x:c r="A11" s="24" t="n">
        <x:v>1</x:v>
      </x:c>
      <x:c r="B11" s="25" t="str">
        <x:v>S1</x:v>
      </x:c>
      <x:c r="C11" s="25" t="str">
        <x:v>询盘</x:v>
      </x:c>
      <x:c r="D11" s="25" t="str">
        <x:v>P1.02</x:v>
      </x:c>
      <x:c r="E11" s="25" t="str">
        <x:v>询盘要素不完整</x:v>
      </x:c>
      <x:c r="F11" s="25" t="str">
        <x:v>中</x:v>
      </x:c>
      <x:c r="G11" s="25" t="str">
        <x:v>K002</x:v>
      </x:c>
      <x:c r="H11" s="25" t="str">
        <x:v>询盘的类型</x:v>
      </x:c>
      <x:c r="I11" s="25" t="str">
        <x:v>概念</x:v>
      </x:c>
      <x:c r="J11" s="25" t="str">
        <x:v>“询盘的类型”可用于识别、预防或处理“询盘要素不完整”。</x:v>
      </x:c>
      <x:c r="K11" s="26" t="str">
        <x:v>Distinguishes a careless specific inquiry from a deliberately broad one.</x:v>
      </x:c>
    </x:row>
    <x:row r="12">
      <x:c r="A12" s="24" t="n">
        <x:v>1</x:v>
      </x:c>
      <x:c r="B12" s="25" t="str">
        <x:v>S1</x:v>
      </x:c>
      <x:c r="C12" s="25" t="str">
        <x:v>询盘</x:v>
      </x:c>
      <x:c r="D12" s="25" t="str">
        <x:v>P1.03</x:v>
      </x:c>
      <x:c r="E12" s="25" t="str">
        <x:v>多供应商询价泛滥</x:v>
      </x:c>
      <x:c r="F12" s="25" t="str">
        <x:v>低</x:v>
      </x:c>
      <x:c r="G12" s="25" t="str">
        <x:v>K009</x:v>
      </x:c>
      <x:c r="H12" s="25" t="str">
        <x:v>询盘渠道与工具</x:v>
      </x:c>
      <x:c r="I12" s="25" t="str">
        <x:v>业务流程</x:v>
      </x:c>
      <x:c r="J12" s="25" t="str">
        <x:v>“询盘渠道与工具”可用于识别、预防或处理“多供应商询价泛滥”。</x:v>
      </x:c>
      <x:c r="K12" s="26" t="str">
        <x:v>Chooses channels that reduce anonymous blast-RFQs.</x:v>
      </x:c>
    </x:row>
    <x:row r="13">
      <x:c r="A13" s="24" t="n">
        <x:v>1</x:v>
      </x:c>
      <x:c r="B13" s="25" t="str">
        <x:v>S1</x:v>
      </x:c>
      <x:c r="C13" s="25" t="str">
        <x:v>询盘</x:v>
      </x:c>
      <x:c r="D13" s="25" t="str">
        <x:v>P1.03</x:v>
      </x:c>
      <x:c r="E13" s="25" t="str">
        <x:v>多供应商询价泛滥</x:v>
      </x:c>
      <x:c r="F13" s="25" t="str">
        <x:v>低</x:v>
      </x:c>
      <x:c r="G13" s="25" t="str">
        <x:v>K011</x:v>
      </x:c>
      <x:c r="H13" s="25" t="str">
        <x:v>询盘比较分析</x:v>
      </x:c>
      <x:c r="I13" s="25" t="str">
        <x:v>业务流程</x:v>
      </x:c>
      <x:c r="J13" s="25" t="str">
        <x:v>“询盘比较分析”可用于识别、预防或处理“多供应商询价泛滥”。</x:v>
      </x:c>
      <x:c r="K13" s="26" t="str">
        <x:v>Imposes a comparison sheet so flooding does not become chaos.</x:v>
      </x:c>
    </x:row>
    <x:row r="14">
      <x:c r="A14" s="24" t="n">
        <x:v>1</x:v>
      </x:c>
      <x:c r="B14" s="25" t="str">
        <x:v>S1</x:v>
      </x:c>
      <x:c r="C14" s="25" t="str">
        <x:v>询盘</x:v>
      </x:c>
      <x:c r="D14" s="25" t="str">
        <x:v>P1.03</x:v>
      </x:c>
      <x:c r="E14" s="25" t="str">
        <x:v>多供应商询价泛滥</x:v>
      </x:c>
      <x:c r="F14" s="25" t="str">
        <x:v>低</x:v>
      </x:c>
      <x:c r="G14" s="25" t="str">
        <x:v>K012</x:v>
      </x:c>
      <x:c r="H14" s="25" t="str">
        <x:v>询盘阶段价格谈判</x:v>
      </x:c>
      <x:c r="I14" s="25" t="str">
        <x:v>策略</x:v>
      </x:c>
      <x:c r="J14" s="25" t="str">
        <x:v>运用“询盘阶段价格谈判”应对“多供应商询价泛滥”，把原则转化为可执行的谈判行动。</x:v>
      </x:c>
      <x:c r="K14" s="26" t="str">
        <x:v>Stops you from racing the price down against unknown other bidders.</x:v>
      </x:c>
    </x:row>
    <x:row r="15">
      <x:c r="A15" s="24" t="n">
        <x:v>1</x:v>
      </x:c>
      <x:c r="B15" s="25" t="str">
        <x:v>S1</x:v>
      </x:c>
      <x:c r="C15" s="25" t="str">
        <x:v>询盘</x:v>
      </x:c>
      <x:c r="D15" s="25" t="str">
        <x:v>P1.03</x:v>
      </x:c>
      <x:c r="E15" s="25" t="str">
        <x:v>多供应商询价泛滥</x:v>
      </x:c>
      <x:c r="F15" s="25" t="str">
        <x:v>低</x:v>
      </x:c>
      <x:c r="G15" s="25" t="str">
        <x:v>K005</x:v>
      </x:c>
      <x:c r="H15" s="25" t="str">
        <x:v>宽泛询盘策略</x:v>
      </x:c>
      <x:c r="I15" s="25" t="str">
        <x:v>策略</x:v>
      </x:c>
      <x:c r="J15" s="25" t="str">
        <x:v>运用“宽泛询盘策略”应对“多供应商询价泛滥”，把原则转化为可执行的谈判行动。</x:v>
      </x:c>
      <x:c r="K15" s="26" t="str">
        <x:v>Lets you reply lightly until the buyer shortlists.</x:v>
      </x:c>
    </x:row>
    <x:row r="16">
      <x:c r="A16" s="24" t="n">
        <x:v>1</x:v>
      </x:c>
      <x:c r="B16" s="25" t="str">
        <x:v>S1</x:v>
      </x:c>
      <x:c r="C16" s="25" t="str">
        <x:v>询盘</x:v>
      </x:c>
      <x:c r="D16" s="25" t="str">
        <x:v>P1.04</x:v>
      </x:c>
      <x:c r="E16" s="25" t="str">
        <x:v>询盘意外构成发盘</x:v>
      </x:c>
      <x:c r="F16" s="25" t="str">
        <x:v>高</x:v>
      </x:c>
      <x:c r="G16" s="25" t="str">
        <x:v>K003</x:v>
      </x:c>
      <x:c r="H16" s="25" t="str">
        <x:v>询盘的法律性质</x:v>
      </x:c>
      <x:c r="I16" s="25" t="str">
        <x:v>法律规则</x:v>
      </x:c>
      <x:c r="J16" s="25" t="str">
        <x:v>“询盘的法律性质”可用于识别、预防或处理“询盘意外构成发盘”。</x:v>
      </x:c>
      <x:c r="K16" s="26" t="str">
        <x:v>States the default legal nature so you know when you are leaving it.</x:v>
      </x:c>
    </x:row>
    <x:row r="17">
      <x:c r="A17" s="24" t="n">
        <x:v>1</x:v>
      </x:c>
      <x:c r="B17" s="25" t="str">
        <x:v>S1</x:v>
      </x:c>
      <x:c r="C17" s="25" t="str">
        <x:v>询盘</x:v>
      </x:c>
      <x:c r="D17" s="25" t="str">
        <x:v>P1.04</x:v>
      </x:c>
      <x:c r="E17" s="25" t="str">
        <x:v>询盘意外构成发盘</x:v>
      </x:c>
      <x:c r="F17" s="25" t="str">
        <x:v>高</x:v>
      </x:c>
      <x:c r="G17" s="25" t="str">
        <x:v>K004</x:v>
      </x:c>
      <x:c r="H17" s="25" t="str">
        <x:v>询盘向发盘的转化</x:v>
      </x:c>
      <x:c r="I17" s="25" t="str">
        <x:v>法律规则</x:v>
      </x:c>
      <x:c r="J17" s="25" t="str">
        <x:v>“询盘向发盘的转化”可用于识别、预防或处理“询盘意外构成发盘”。</x:v>
      </x:c>
      <x:c r="K17" s="26" t="str">
        <x:v>Flags the wording that would convert the inquiry into an offer.</x:v>
      </x:c>
    </x:row>
    <x:row r="18">
      <x:c r="A18" s="24" t="n">
        <x:v>1</x:v>
      </x:c>
      <x:c r="B18" s="25" t="str">
        <x:v>S1</x:v>
      </x:c>
      <x:c r="C18" s="25" t="str">
        <x:v>询盘</x:v>
      </x:c>
      <x:c r="D18" s="25" t="str">
        <x:v>P1.04</x:v>
      </x:c>
      <x:c r="E18" s="25" t="str">
        <x:v>询盘意外构成发盘</x:v>
      </x:c>
      <x:c r="F18" s="25" t="str">
        <x:v>高</x:v>
      </x:c>
      <x:c r="G18" s="25" t="str">
        <x:v>K008</x:v>
      </x:c>
      <x:c r="H18" s="25" t="str">
        <x:v>询盘函结构与语言</x:v>
      </x:c>
      <x:c r="I18" s="25" t="str">
        <x:v>商务函电</x:v>
      </x:c>
      <x:c r="J18" s="25" t="str">
        <x:v>“询盘函结构与语言”可用于识别、预防或处理“询盘意外构成发盘”。</x:v>
      </x:c>
      <x:c r="K18" s="26" t="str">
        <x:v>Keeps the letter in inquiry form: questions, not commitments.</x:v>
      </x:c>
    </x:row>
    <x:row r="19">
      <x:c r="A19" s="24" t="n">
        <x:v>1</x:v>
      </x:c>
      <x:c r="B19" s="25" t="str">
        <x:v>S1</x:v>
      </x:c>
      <x:c r="C19" s="25" t="str">
        <x:v>询盘</x:v>
      </x:c>
      <x:c r="D19" s="25" t="str">
        <x:v>P1.04</x:v>
      </x:c>
      <x:c r="E19" s="25" t="str">
        <x:v>询盘意外构成发盘</x:v>
      </x:c>
      <x:c r="F19" s="25" t="str">
        <x:v>高</x:v>
      </x:c>
      <x:c r="G19" s="25" t="str">
        <x:v>K014</x:v>
      </x:c>
      <x:c r="H19" s="25" t="str">
        <x:v>发盘的法律性质与解释</x:v>
      </x:c>
      <x:c r="I19" s="25" t="str">
        <x:v>法律规则</x:v>
      </x:c>
      <x:c r="J19" s="25" t="str">
        <x:v>“发盘的法律性质与解释”可用于识别、预防或处理“询盘意外构成发盘”。</x:v>
      </x:c>
      <x:c r="K19" s="26" t="str">
        <x:v>Shows the other side of the line: what an offer looks like if you cross it.</x:v>
      </x:c>
    </x:row>
    <x:row r="20">
      <x:c r="A20" s="24" t="n">
        <x:v>1</x:v>
      </x:c>
      <x:c r="B20" s="25" t="str">
        <x:v>S1</x:v>
      </x:c>
      <x:c r="C20" s="25" t="str">
        <x:v>询盘</x:v>
      </x:c>
      <x:c r="D20" s="25" t="str">
        <x:v>P1.05</x:v>
      </x:c>
      <x:c r="E20" s="25" t="str">
        <x:v>首次接触礼仪失当</x:v>
      </x:c>
      <x:c r="F20" s="25" t="str">
        <x:v>中</x:v>
      </x:c>
      <x:c r="G20" s="25" t="str">
        <x:v>K007</x:v>
      </x:c>
      <x:c r="H20" s="25" t="str">
        <x:v>询盘礼仪与跨文化差异</x:v>
      </x:c>
      <x:c r="I20" s="25" t="str">
        <x:v>跨文化</x:v>
      </x:c>
      <x:c r="J20" s="25" t="str">
        <x:v>“询盘礼仪与跨文化差异”可用于识别、预防或处理“首次接触礼仪失当”。</x:v>
      </x:c>
      <x:c r="K20" s="26" t="str">
        <x:v>Supplies the cultural script for first contact.</x:v>
      </x:c>
    </x:row>
    <x:row r="21">
      <x:c r="A21" s="24" t="n">
        <x:v>1</x:v>
      </x:c>
      <x:c r="B21" s="25" t="str">
        <x:v>S1</x:v>
      </x:c>
      <x:c r="C21" s="25" t="str">
        <x:v>询盘</x:v>
      </x:c>
      <x:c r="D21" s="25" t="str">
        <x:v>P1.05</x:v>
      </x:c>
      <x:c r="E21" s="25" t="str">
        <x:v>首次接触礼仪失当</x:v>
      </x:c>
      <x:c r="F21" s="25" t="str">
        <x:v>中</x:v>
      </x:c>
      <x:c r="G21" s="25" t="str">
        <x:v>K008</x:v>
      </x:c>
      <x:c r="H21" s="25" t="str">
        <x:v>询盘函结构与语言</x:v>
      </x:c>
      <x:c r="I21" s="25" t="str">
        <x:v>商务函电</x:v>
      </x:c>
      <x:c r="J21" s="25" t="str">
        <x:v>“询盘函结构与语言”可用于识别、预防或处理“首次接触礼仪失当”。</x:v>
      </x:c>
      <x:c r="K21" s="26" t="str">
        <x:v>Gives a polite, complete letter structure that travels across cultures.</x:v>
      </x:c>
    </x:row>
    <x:row r="22">
      <x:c r="A22" s="24" t="n">
        <x:v>1</x:v>
      </x:c>
      <x:c r="B22" s="25" t="str">
        <x:v>S1</x:v>
      </x:c>
      <x:c r="C22" s="25" t="str">
        <x:v>询盘</x:v>
      </x:c>
      <x:c r="D22" s="25" t="str">
        <x:v>P1.05</x:v>
      </x:c>
      <x:c r="E22" s="25" t="str">
        <x:v>首次接触礼仪失当</x:v>
      </x:c>
      <x:c r="F22" s="25" t="str">
        <x:v>中</x:v>
      </x:c>
      <x:c r="G22" s="25" t="str">
        <x:v>K020</x:v>
      </x:c>
      <x:c r="H22" s="25" t="str">
        <x:v>发盘礼仪与跨文化差异</x:v>
      </x:c>
      <x:c r="I22" s="25" t="str">
        <x:v>跨文化</x:v>
      </x:c>
      <x:c r="J22" s="25" t="str">
        <x:v>“发盘礼仪与跨文化差异”可用于识别、预防或处理“首次接触礼仪失当”。</x:v>
      </x:c>
      <x:c r="K22" s="26" t="str">
        <x:v>Prepares you for how the same counterpart will read a later offer.</x:v>
      </x:c>
    </x:row>
    <x:row r="23">
      <x:c r="A23" s="24" t="n">
        <x:v>1</x:v>
      </x:c>
      <x:c r="B23" s="25" t="str">
        <x:v>S1</x:v>
      </x:c>
      <x:c r="C23" s="25" t="str">
        <x:v>询盘</x:v>
      </x:c>
      <x:c r="D23" s="25" t="str">
        <x:v>P1.06</x:v>
      </x:c>
      <x:c r="E23" s="25" t="str">
        <x:v>隐瞒数量只问价格</x:v>
      </x:c>
      <x:c r="F23" s="25" t="str">
        <x:v>中</x:v>
      </x:c>
      <x:c r="G23" s="25" t="str">
        <x:v>K005</x:v>
      </x:c>
      <x:c r="H23" s="25" t="str">
        <x:v>宽泛询盘策略</x:v>
      </x:c>
      <x:c r="I23" s="25" t="str">
        <x:v>策略</x:v>
      </x:c>
      <x:c r="J23" s="25" t="str">
        <x:v>运用“宽泛询盘策略”应对“隐瞒数量只问价格”，把原则转化为可执行的谈判行动。</x:v>
      </x:c>
      <x:c r="K23" s="26" t="str">
        <x:v>Replies with a range, not a firm unit price, until volume is disclosed.</x:v>
      </x:c>
    </x:row>
    <x:row r="24">
      <x:c r="A24" s="24" t="n">
        <x:v>1</x:v>
      </x:c>
      <x:c r="B24" s="25" t="str">
        <x:v>S1</x:v>
      </x:c>
      <x:c r="C24" s="25" t="str">
        <x:v>询盘</x:v>
      </x:c>
      <x:c r="D24" s="25" t="str">
        <x:v>P1.06</x:v>
      </x:c>
      <x:c r="E24" s="25" t="str">
        <x:v>隐瞒数量只问价格</x:v>
      </x:c>
      <x:c r="F24" s="25" t="str">
        <x:v>中</x:v>
      </x:c>
      <x:c r="G24" s="25" t="str">
        <x:v>K006</x:v>
      </x:c>
      <x:c r="H24" s="25" t="str">
        <x:v>精准询盘策略</x:v>
      </x:c>
      <x:c r="I24" s="25" t="str">
        <x:v>策略</x:v>
      </x:c>
      <x:c r="J24" s="25" t="str">
        <x:v>运用“精准询盘策略”应对“隐瞒数量只问价格”，把原则转化为可执行的谈判行动。</x:v>
      </x:c>
      <x:c r="K24" s="26" t="str">
        <x:v>Trades a precise quote for precise quantity and destination.</x:v>
      </x:c>
    </x:row>
    <x:row r="25">
      <x:c r="A25" s="24" t="n">
        <x:v>1</x:v>
      </x:c>
      <x:c r="B25" s="25" t="str">
        <x:v>S1</x:v>
      </x:c>
      <x:c r="C25" s="25" t="str">
        <x:v>询盘</x:v>
      </x:c>
      <x:c r="D25" s="25" t="str">
        <x:v>P1.06</x:v>
      </x:c>
      <x:c r="E25" s="25" t="str">
        <x:v>隐瞒数量只问价格</x:v>
      </x:c>
      <x:c r="F25" s="25" t="str">
        <x:v>中</x:v>
      </x:c>
      <x:c r="G25" s="25" t="str">
        <x:v>K012</x:v>
      </x:c>
      <x:c r="H25" s="25" t="str">
        <x:v>询盘阶段价格谈判</x:v>
      </x:c>
      <x:c r="I25" s="25" t="str">
        <x:v>策略</x:v>
      </x:c>
      <x:c r="J25" s="25" t="str">
        <x:v>运用“询盘阶段价格谈判”应对“隐瞒数量只问价格”，把原则转化为可执行的谈判行动。</x:v>
      </x:c>
      <x:c r="K25" s="26" t="str">
        <x:v>Runs early price talk as information exchange, not as a bid.</x:v>
      </x:c>
    </x:row>
    <x:row r="26">
      <x:c r="A26" s="24" t="n">
        <x:v>1</x:v>
      </x:c>
      <x:c r="B26" s="25" t="str">
        <x:v>S1</x:v>
      </x:c>
      <x:c r="C26" s="25" t="str">
        <x:v>询盘</x:v>
      </x:c>
      <x:c r="D26" s="25" t="str">
        <x:v>P1.06</x:v>
      </x:c>
      <x:c r="E26" s="25" t="str">
        <x:v>隐瞒数量只问价格</x:v>
      </x:c>
      <x:c r="F26" s="25" t="str">
        <x:v>中</x:v>
      </x:c>
      <x:c r="G26" s="25" t="str">
        <x:v>K010</x:v>
      </x:c>
      <x:c r="H26" s="25" t="str">
        <x:v>询盘前信息收集与市场调研</x:v>
      </x:c>
      <x:c r="I26" s="25" t="str">
        <x:v>业务流程</x:v>
      </x:c>
      <x:c r="J26" s="25" t="str">
        <x:v>“询盘前信息收集与市场调研”可用于识别、预防或处理“隐瞒数量只问价格”。</x:v>
      </x:c>
      <x:c r="K26" s="26" t="str">
        <x:v>Estimates a realistic volume from market data instead of accepting 'TBD'.</x:v>
      </x:c>
    </x:row>
    <x:row r="27">
      <x:c r="A27" s="24" t="n">
        <x:v>1</x:v>
      </x:c>
      <x:c r="B27" s="25" t="str">
        <x:v>S1</x:v>
      </x:c>
      <x:c r="C27" s="25" t="str">
        <x:v>询盘</x:v>
      </x:c>
      <x:c r="D27" s="25" t="str">
        <x:v>P1.06</x:v>
      </x:c>
      <x:c r="E27" s="25" t="str">
        <x:v>隐瞒数量只问价格</x:v>
      </x:c>
      <x:c r="F27" s="25" t="str">
        <x:v>中</x:v>
      </x:c>
      <x:c r="G27" s="25" t="str">
        <x:v>K018</x:v>
      </x:c>
      <x:c r="H27" s="25" t="str">
        <x:v>价格锚定策略</x:v>
      </x:c>
      <x:c r="I27" s="25" t="str">
        <x:v>策略</x:v>
      </x:c>
      <x:c r="J27" s="25" t="str">
        <x:v>运用“价格锚定策略”应对“隐瞒数量只问价格”，把原则转化为可执行的谈判行动。</x:v>
      </x:c>
      <x:c r="K27" s="26" t="str">
        <x:v>Avoids dropping an unanchored number the buyer will freeze as your ceiling.</x:v>
      </x:c>
    </x:row>
    <x:row r="28">
      <x:c r="A28" s="24" t="n">
        <x:v>1</x:v>
      </x:c>
      <x:c r="B28" s="25" t="str">
        <x:v>S1</x:v>
      </x:c>
      <x:c r="C28" s="25" t="str">
        <x:v>询盘</x:v>
      </x:c>
      <x:c r="D28" s="25" t="str">
        <x:v>P1.07</x:v>
      </x:c>
      <x:c r="E28" s="25" t="str">
        <x:v>未调研即询盘</x:v>
      </x:c>
      <x:c r="F28" s="25" t="str">
        <x:v>低</x:v>
      </x:c>
      <x:c r="G28" s="25" t="str">
        <x:v>K010</x:v>
      </x:c>
      <x:c r="H28" s="25" t="str">
        <x:v>询盘前信息收集与市场调研</x:v>
      </x:c>
      <x:c r="I28" s="25" t="str">
        <x:v>业务流程</x:v>
      </x:c>
      <x:c r="J28" s="25" t="str">
        <x:v>“询盘前信息收集与市场调研”可用于识别、预防或处理“未调研即询盘”。</x:v>
      </x:c>
      <x:c r="K28" s="26" t="str">
        <x:v>Makes market research a gate before the first RFQ goes out.</x:v>
      </x:c>
    </x:row>
    <x:row r="29">
      <x:c r="A29" s="24" t="n">
        <x:v>1</x:v>
      </x:c>
      <x:c r="B29" s="25" t="str">
        <x:v>S1</x:v>
      </x:c>
      <x:c r="C29" s="25" t="str">
        <x:v>询盘</x:v>
      </x:c>
      <x:c r="D29" s="25" t="str">
        <x:v>P1.07</x:v>
      </x:c>
      <x:c r="E29" s="25" t="str">
        <x:v>未调研即询盘</x:v>
      </x:c>
      <x:c r="F29" s="25" t="str">
        <x:v>低</x:v>
      </x:c>
      <x:c r="G29" s="25" t="str">
        <x:v>K009</x:v>
      </x:c>
      <x:c r="H29" s="25" t="str">
        <x:v>询盘渠道与工具</x:v>
      </x:c>
      <x:c r="I29" s="25" t="str">
        <x:v>业务流程</x:v>
      </x:c>
      <x:c r="J29" s="25" t="str">
        <x:v>“询盘渠道与工具”可用于识别、预防或处理“未调研即询盘”。</x:v>
      </x:c>
      <x:c r="K29" s="26" t="str">
        <x:v>Selects channels that already filter credible counterparties.</x:v>
      </x:c>
    </x:row>
    <x:row r="30">
      <x:c r="A30" s="24" t="n">
        <x:v>1</x:v>
      </x:c>
      <x:c r="B30" s="25" t="str">
        <x:v>S1</x:v>
      </x:c>
      <x:c r="C30" s="25" t="str">
        <x:v>询盘</x:v>
      </x:c>
      <x:c r="D30" s="25" t="str">
        <x:v>P1.07</x:v>
      </x:c>
      <x:c r="E30" s="25" t="str">
        <x:v>未调研即询盘</x:v>
      </x:c>
      <x:c r="F30" s="25" t="str">
        <x:v>低</x:v>
      </x:c>
      <x:c r="G30" s="25" t="str">
        <x:v>K011</x:v>
      </x:c>
      <x:c r="H30" s="25" t="str">
        <x:v>询盘比较分析</x:v>
      </x:c>
      <x:c r="I30" s="25" t="str">
        <x:v>业务流程</x:v>
      </x:c>
      <x:c r="J30" s="25" t="str">
        <x:v>“询盘比较分析”可用于识别、预防或处理“未调研即询盘”。</x:v>
      </x:c>
      <x:c r="K30" s="26" t="str">
        <x:v>Gives a method to process whatever replies then arrive.</x:v>
      </x:c>
    </x:row>
    <x:row r="31">
      <x:c r="A31" s="24" t="n">
        <x:v>1</x:v>
      </x:c>
      <x:c r="B31" s="25" t="str">
        <x:v>S1</x:v>
      </x:c>
      <x:c r="C31" s="25" t="str">
        <x:v>询盘</x:v>
      </x:c>
      <x:c r="D31" s="25" t="str">
        <x:v>P1.07</x:v>
      </x:c>
      <x:c r="E31" s="25" t="str">
        <x:v>未调研即询盘</x:v>
      </x:c>
      <x:c r="F31" s="25" t="str">
        <x:v>低</x:v>
      </x:c>
      <x:c r="G31" s="25" t="str">
        <x:v>K002</x:v>
      </x:c>
      <x:c r="H31" s="25" t="str">
        <x:v>询盘的类型</x:v>
      </x:c>
      <x:c r="I31" s="25" t="str">
        <x:v>概念</x:v>
      </x:c>
      <x:c r="J31" s="25" t="str">
        <x:v>“询盘的类型”可用于识别、预防或处理“未调研即询盘”。</x:v>
      </x:c>
      <x:c r="K31" s="26" t="str">
        <x:v>Chooses general vs specific inquiry based on how much you already know.</x:v>
      </x:c>
    </x:row>
    <x:row r="32">
      <x:c r="A32" s="24" t="n">
        <x:v>2</x:v>
      </x:c>
      <x:c r="B32" s="25" t="str">
        <x:v>S2</x:v>
      </x:c>
      <x:c r="C32" s="25" t="str">
        <x:v>发盘</x:v>
      </x:c>
      <x:c r="D32" s="25" t="str">
        <x:v>P2.01</x:v>
      </x:c>
      <x:c r="E32" s="25" t="str">
        <x:v>持续提供虚盘</x:v>
      </x:c>
      <x:c r="F32" s="25" t="str">
        <x:v>高</x:v>
      </x:c>
      <x:c r="G32" s="25" t="str">
        <x:v>K013</x:v>
      </x:c>
      <x:c r="H32" s="25" t="str">
        <x:v>发盘的定义</x:v>
      </x:c>
      <x:c r="I32" s="25" t="str">
        <x:v>概念</x:v>
      </x:c>
      <x:c r="J32" s="25" t="str">
        <x:v>“发盘的定义”可用于识别、预防或处理“持续提供虚盘”。</x:v>
      </x:c>
      <x:c r="K32" s="26" t="str">
        <x:v>Defines a real offer so a 'subject to confirmation' quote is recognised as fishing.</x:v>
      </x:c>
    </x:row>
    <x:row r="33">
      <x:c r="A33" s="24" t="n">
        <x:v>2</x:v>
      </x:c>
      <x:c r="B33" s="25" t="str">
        <x:v>S2</x:v>
      </x:c>
      <x:c r="C33" s="25" t="str">
        <x:v>发盘</x:v>
      </x:c>
      <x:c r="D33" s="25" t="str">
        <x:v>P2.01</x:v>
      </x:c>
      <x:c r="E33" s="25" t="str">
        <x:v>持续提供虚盘</x:v>
      </x:c>
      <x:c r="F33" s="25" t="str">
        <x:v>高</x:v>
      </x:c>
      <x:c r="G33" s="25" t="str">
        <x:v>K014</x:v>
      </x:c>
      <x:c r="H33" s="25" t="str">
        <x:v>发盘的法律性质与解释</x:v>
      </x:c>
      <x:c r="I33" s="25" t="str">
        <x:v>法律规则</x:v>
      </x:c>
      <x:c r="J33" s="25" t="str">
        <x:v>“发盘的法律性质与解释”可用于识别、预防或处理“持续提供虚盘”。</x:v>
      </x:c>
      <x:c r="K33" s="26" t="str">
        <x:v>Interprets whether any commitment is actually present.</x:v>
      </x:c>
    </x:row>
    <x:row r="34">
      <x:c r="A34" s="24" t="n">
        <x:v>2</x:v>
      </x:c>
      <x:c r="B34" s="25" t="str">
        <x:v>S2</x:v>
      </x:c>
      <x:c r="C34" s="25" t="str">
        <x:v>发盘</x:v>
      </x:c>
      <x:c r="D34" s="25" t="str">
        <x:v>P2.01</x:v>
      </x:c>
      <x:c r="E34" s="25" t="str">
        <x:v>持续提供虚盘</x:v>
      </x:c>
      <x:c r="F34" s="25" t="str">
        <x:v>高</x:v>
      </x:c>
      <x:c r="G34" s="25" t="str">
        <x:v>K023</x:v>
      </x:c>
      <x:c r="H34" s="25" t="str">
        <x:v>附条件与限制性发盘</x:v>
      </x:c>
      <x:c r="I34" s="25" t="str">
        <x:v>法律规则</x:v>
      </x:c>
      <x:c r="J34" s="25" t="str">
        <x:v>“附条件与限制性发盘”可用于识别、预防或处理“持续提供虚盘”。</x:v>
      </x:c>
      <x:c r="K34" s="26" t="str">
        <x:v>Reads stacked conditions as a non-offer, not as a firm deal.</x:v>
      </x:c>
    </x:row>
    <x:row r="35">
      <x:c r="A35" s="24" t="n">
        <x:v>2</x:v>
      </x:c>
      <x:c r="B35" s="25" t="str">
        <x:v>S2</x:v>
      </x:c>
      <x:c r="C35" s="25" t="str">
        <x:v>发盘</x:v>
      </x:c>
      <x:c r="D35" s="25" t="str">
        <x:v>P2.01</x:v>
      </x:c>
      <x:c r="E35" s="25" t="str">
        <x:v>持续提供虚盘</x:v>
      </x:c>
      <x:c r="F35" s="25" t="str">
        <x:v>高</x:v>
      </x:c>
      <x:c r="G35" s="25" t="str">
        <x:v>K024</x:v>
      </x:c>
      <x:c r="H35" s="25" t="str">
        <x:v>发盘风险管理</x:v>
      </x:c>
      <x:c r="I35" s="25" t="str">
        <x:v>风险控制</x:v>
      </x:c>
      <x:c r="J35" s="25" t="str">
        <x:v>“发盘风险管理”可用于识别、预防或处理“持续提供虚盘”。</x:v>
      </x:c>
      <x:c r="K35" s="26" t="str">
        <x:v>Refuses to plan production against a revocable quotation.</x:v>
      </x:c>
    </x:row>
    <x:row r="36">
      <x:c r="A36" s="24" t="n">
        <x:v>2</x:v>
      </x:c>
      <x:c r="B36" s="25" t="str">
        <x:v>S2</x:v>
      </x:c>
      <x:c r="C36" s="25" t="str">
        <x:v>发盘</x:v>
      </x:c>
      <x:c r="D36" s="25" t="str">
        <x:v>P2.01</x:v>
      </x:c>
      <x:c r="E36" s="25" t="str">
        <x:v>持续提供虚盘</x:v>
      </x:c>
      <x:c r="F36" s="25" t="str">
        <x:v>高</x:v>
      </x:c>
      <x:c r="G36" s="25" t="str">
        <x:v>K020</x:v>
      </x:c>
      <x:c r="H36" s="25" t="str">
        <x:v>发盘礼仪与跨文化差异</x:v>
      </x:c>
      <x:c r="I36" s="25" t="str">
        <x:v>跨文化</x:v>
      </x:c>
      <x:c r="J36" s="25" t="str">
        <x:v>“发盘礼仪与跨文化差异”可用于识别、预防或处理“持续提供虚盘”。</x:v>
      </x:c>
      <x:c r="K36" s="26" t="str">
        <x:v>Separates cultures that quote loosely from counterparts who are stalling.</x:v>
      </x:c>
    </x:row>
    <x:row r="37">
      <x:c r="A37" s="24" t="n">
        <x:v>2</x:v>
      </x:c>
      <x:c r="B37" s="25" t="str">
        <x:v>S2</x:v>
      </x:c>
      <x:c r="C37" s="25" t="str">
        <x:v>发盘</x:v>
      </x:c>
      <x:c r="D37" s="25" t="str">
        <x:v>P2.01</x:v>
      </x:c>
      <x:c r="E37" s="25" t="str">
        <x:v>持续提供虚盘</x:v>
      </x:c>
      <x:c r="F37" s="25" t="str">
        <x:v>高</x:v>
      </x:c>
      <x:c r="G37" s="25" t="str">
        <x:v>K025</x:v>
      </x:c>
      <x:c r="H37" s="25" t="str">
        <x:v>发盘谈判与心理策略</x:v>
      </x:c>
      <x:c r="I37" s="25" t="str">
        <x:v>策略</x:v>
      </x:c>
      <x:c r="J37" s="25" t="str">
        <x:v>运用“发盘谈判与心理策略”应对“持续提供虚盘”，把原则转化为可执行的谈判行动。</x:v>
      </x:c>
      <x:c r="K37" s="26" t="str">
        <x:v>Presses for a firm offer or walks, rather than negotiating a phantom number.</x:v>
      </x:c>
    </x:row>
    <x:row r="38">
      <x:c r="A38" s="24" t="n">
        <x:v>2</x:v>
      </x:c>
      <x:c r="B38" s="25" t="str">
        <x:v>S2</x:v>
      </x:c>
      <x:c r="C38" s="25" t="str">
        <x:v>发盘</x:v>
      </x:c>
      <x:c r="D38" s="25" t="str">
        <x:v>P2.02</x:v>
      </x:c>
      <x:c r="E38" s="25" t="str">
        <x:v>发盘有效期模糊或缺失</x:v>
      </x:c>
      <x:c r="F38" s="25" t="str">
        <x:v>高</x:v>
      </x:c>
      <x:c r="G38" s="25" t="str">
        <x:v>K015</x:v>
      </x:c>
      <x:c r="H38" s="25" t="str">
        <x:v>发盘有效期</x:v>
      </x:c>
      <x:c r="I38" s="25" t="str">
        <x:v>法律规则</x:v>
      </x:c>
      <x:c r="J38" s="25" t="str">
        <x:v>“发盘有效期”可用于识别、预防或处理“发盘有效期模糊或缺失”。</x:v>
      </x:c>
      <x:c r="K38" s="26" t="str">
        <x:v>Inserts an explicit validity period with time zone.</x:v>
      </x:c>
    </x:row>
    <x:row r="39">
      <x:c r="A39" s="24" t="n">
        <x:v>2</x:v>
      </x:c>
      <x:c r="B39" s="25" t="str">
        <x:v>S2</x:v>
      </x:c>
      <x:c r="C39" s="25" t="str">
        <x:v>发盘</x:v>
      </x:c>
      <x:c r="D39" s="25" t="str">
        <x:v>P2.02</x:v>
      </x:c>
      <x:c r="E39" s="25" t="str">
        <x:v>发盘有效期模糊或缺失</x:v>
      </x:c>
      <x:c r="F39" s="25" t="str">
        <x:v>高</x:v>
      </x:c>
      <x:c r="G39" s="25" t="str">
        <x:v>K014</x:v>
      </x:c>
      <x:c r="H39" s="25" t="str">
        <x:v>发盘的法律性质与解释</x:v>
      </x:c>
      <x:c r="I39" s="25" t="str">
        <x:v>法律规则</x:v>
      </x:c>
      <x:c r="J39" s="25" t="str">
        <x:v>“发盘的法律性质与解释”可用于识别、预防或处理“发盘有效期模糊或缺失”。</x:v>
      </x:c>
      <x:c r="K39" s="26" t="str">
        <x:v>Explains the legal effect of silence on duration.</x:v>
      </x:c>
    </x:row>
    <x:row r="40">
      <x:c r="A40" s="24" t="n">
        <x:v>2</x:v>
      </x:c>
      <x:c r="B40" s="25" t="str">
        <x:v>S2</x:v>
      </x:c>
      <x:c r="C40" s="25" t="str">
        <x:v>发盘</x:v>
      </x:c>
      <x:c r="D40" s="25" t="str">
        <x:v>P2.02</x:v>
      </x:c>
      <x:c r="E40" s="25" t="str">
        <x:v>发盘有效期模糊或缺失</x:v>
      </x:c>
      <x:c r="F40" s="25" t="str">
        <x:v>高</x:v>
      </x:c>
      <x:c r="G40" s="25" t="str">
        <x:v>K019</x:v>
      </x:c>
      <x:c r="H40" s="25" t="str">
        <x:v>发盘函结构</x:v>
      </x:c>
      <x:c r="I40" s="25" t="str">
        <x:v>商务函电</x:v>
      </x:c>
      <x:c r="J40" s="25" t="str">
        <x:v>“发盘函结构”可用于识别、预防或处理“发盘有效期模糊或缺失”。</x:v>
      </x:c>
      <x:c r="K40" s="26" t="str">
        <x:v>Puts validity in a numbered field of the offer letter.</x:v>
      </x:c>
    </x:row>
    <x:row r="41">
      <x:c r="A41" s="24" t="n">
        <x:v>2</x:v>
      </x:c>
      <x:c r="B41" s="25" t="str">
        <x:v>S2</x:v>
      </x:c>
      <x:c r="C41" s="25" t="str">
        <x:v>发盘</x:v>
      </x:c>
      <x:c r="D41" s="25" t="str">
        <x:v>P2.02</x:v>
      </x:c>
      <x:c r="E41" s="25" t="str">
        <x:v>发盘有效期模糊或缺失</x:v>
      </x:c>
      <x:c r="F41" s="25" t="str">
        <x:v>高</x:v>
      </x:c>
      <x:c r="G41" s="25" t="str">
        <x:v>K022</x:v>
      </x:c>
      <x:c r="H41" s="25" t="str">
        <x:v>发盘的撤回与修改</x:v>
      </x:c>
      <x:c r="I41" s="25" t="str">
        <x:v>法律规则</x:v>
      </x:c>
      <x:c r="J41" s="25" t="str">
        <x:v>“发盘的撤回与修改”可用于识别、预防或处理“发盘有效期模糊或缺失”。</x:v>
      </x:c>
      <x:c r="K41" s="26" t="str">
        <x:v>Controls revocation inside and outside the stated period.</x:v>
      </x:c>
    </x:row>
    <x:row r="42">
      <x:c r="A42" s="24" t="n">
        <x:v>2</x:v>
      </x:c>
      <x:c r="B42" s="25" t="str">
        <x:v>S2</x:v>
      </x:c>
      <x:c r="C42" s="25" t="str">
        <x:v>发盘</x:v>
      </x:c>
      <x:c r="D42" s="25" t="str">
        <x:v>P2.02</x:v>
      </x:c>
      <x:c r="E42" s="25" t="str">
        <x:v>发盘有效期模糊或缺失</x:v>
      </x:c>
      <x:c r="F42" s="25" t="str">
        <x:v>高</x:v>
      </x:c>
      <x:c r="G42" s="25" t="str">
        <x:v>K024</x:v>
      </x:c>
      <x:c r="H42" s="25" t="str">
        <x:v>发盘风险管理</x:v>
      </x:c>
      <x:c r="I42" s="25" t="str">
        <x:v>风险控制</x:v>
      </x:c>
      <x:c r="J42" s="25" t="str">
        <x:v>“发盘风险管理”可用于识别、预防或处理“发盘有效期模糊或缺失”。</x:v>
      </x:c>
      <x:c r="K42" s="26" t="str">
        <x:v>Treats an open-ended firm offer as an unpriced option you are giving away.</x:v>
      </x:c>
    </x:row>
    <x:row r="43">
      <x:c r="A43" s="24" t="n">
        <x:v>2</x:v>
      </x:c>
      <x:c r="B43" s="25" t="str">
        <x:v>S2</x:v>
      </x:c>
      <x:c r="C43" s="25" t="str">
        <x:v>发盘</x:v>
      </x:c>
      <x:c r="D43" s="25" t="str">
        <x:v>P2.03</x:v>
      </x:c>
      <x:c r="E43" s="25" t="str">
        <x:v>FOB/CIF 混淆成本</x:v>
      </x:c>
      <x:c r="F43" s="25" t="str">
        <x:v>高</x:v>
      </x:c>
      <x:c r="G43" s="25" t="str">
        <x:v>K016</x:v>
      </x:c>
      <x:c r="H43" s="25" t="str">
        <x:v>FOB 条件</x:v>
      </x:c>
      <x:c r="I43" s="25" t="str">
        <x:v>法律规则</x:v>
      </x:c>
      <x:c r="J43" s="25" t="str">
        <x:v>“FOB 条件”可用于识别、预防或处理“FOB/CIF 混淆成本”。</x:v>
      </x:c>
      <x:c r="K43" s="26" t="str">
        <x:v>Restates what FOB actually includes so freight is not 'forgotten'.</x:v>
      </x:c>
    </x:row>
    <x:row r="44">
      <x:c r="A44" s="24" t="n">
        <x:v>2</x:v>
      </x:c>
      <x:c r="B44" s="25" t="str">
        <x:v>S2</x:v>
      </x:c>
      <x:c r="C44" s="25" t="str">
        <x:v>发盘</x:v>
      </x:c>
      <x:c r="D44" s="25" t="str">
        <x:v>P2.03</x:v>
      </x:c>
      <x:c r="E44" s="25" t="str">
        <x:v>FOB/CIF 混淆成本</x:v>
      </x:c>
      <x:c r="F44" s="25" t="str">
        <x:v>高</x:v>
      </x:c>
      <x:c r="G44" s="25" t="str">
        <x:v>K017</x:v>
      </x:c>
      <x:c r="H44" s="25" t="str">
        <x:v>CIF 条件</x:v>
      </x:c>
      <x:c r="I44" s="25" t="str">
        <x:v>法律规则</x:v>
      </x:c>
      <x:c r="J44" s="25" t="str">
        <x:v>“CIF 条件”可用于识别、预防或处理“FOB/CIF 混淆成本”。</x:v>
      </x:c>
      <x:c r="K44" s="26" t="str">
        <x:v>Restates what CIF includes, including the minimum-cover trap.</x:v>
      </x:c>
    </x:row>
    <x:row r="45">
      <x:c r="A45" s="24" t="n">
        <x:v>2</x:v>
      </x:c>
      <x:c r="B45" s="25" t="str">
        <x:v>S2</x:v>
      </x:c>
      <x:c r="C45" s="25" t="str">
        <x:v>发盘</x:v>
      </x:c>
      <x:c r="D45" s="25" t="str">
        <x:v>P2.03</x:v>
      </x:c>
      <x:c r="E45" s="25" t="str">
        <x:v>FOB/CIF 混淆成本</x:v>
      </x:c>
      <x:c r="F45" s="25" t="str">
        <x:v>高</x:v>
      </x:c>
      <x:c r="G45" s="25" t="str">
        <x:v>K021</x:v>
      </x:c>
      <x:c r="H45" s="25" t="str">
        <x:v>定价因素分析</x:v>
      </x:c>
      <x:c r="I45" s="25" t="str">
        <x:v>业务流程</x:v>
      </x:c>
      <x:c r="J45" s="25" t="str">
        <x:v>“定价因素分析”可用于识别、预防或处理“FOB/CIF 混淆成本”。</x:v>
      </x:c>
      <x:c r="K45" s="26" t="str">
        <x:v>Rebuilds the price from cost layers so the two terms become comparable.</x:v>
      </x:c>
    </x:row>
    <x:row r="46">
      <x:c r="A46" s="24" t="n">
        <x:v>2</x:v>
      </x:c>
      <x:c r="B46" s="25" t="str">
        <x:v>S2</x:v>
      </x:c>
      <x:c r="C46" s="25" t="str">
        <x:v>发盘</x:v>
      </x:c>
      <x:c r="D46" s="25" t="str">
        <x:v>P2.03</x:v>
      </x:c>
      <x:c r="E46" s="25" t="str">
        <x:v>FOB/CIF 混淆成本</x:v>
      </x:c>
      <x:c r="F46" s="25" t="str">
        <x:v>高</x:v>
      </x:c>
      <x:c r="G46" s="25" t="str">
        <x:v>K024</x:v>
      </x:c>
      <x:c r="H46" s="25" t="str">
        <x:v>发盘风险管理</x:v>
      </x:c>
      <x:c r="I46" s="25" t="str">
        <x:v>风险控制</x:v>
      </x:c>
      <x:c r="J46" s="25" t="str">
        <x:v>“发盘风险管理”可用于识别、预防或处理“FOB/CIF 混淆成本”。</x:v>
      </x:c>
      <x:c r="K46" s="26" t="str">
        <x:v>Flags the risk of quoting the wrong term against your real cost.</x:v>
      </x:c>
    </x:row>
    <x:row r="47">
      <x:c r="A47" s="24" t="n">
        <x:v>2</x:v>
      </x:c>
      <x:c r="B47" s="25" t="str">
        <x:v>S2</x:v>
      </x:c>
      <x:c r="C47" s="25" t="str">
        <x:v>发盘</x:v>
      </x:c>
      <x:c r="D47" s="25" t="str">
        <x:v>P2.03</x:v>
      </x:c>
      <x:c r="E47" s="25" t="str">
        <x:v>FOB/CIF 混淆成本</x:v>
      </x:c>
      <x:c r="F47" s="25" t="str">
        <x:v>高</x:v>
      </x:c>
      <x:c r="G47" s="25" t="str">
        <x:v>K019</x:v>
      </x:c>
      <x:c r="H47" s="25" t="str">
        <x:v>发盘函结构</x:v>
      </x:c>
      <x:c r="I47" s="25" t="str">
        <x:v>商务函电</x:v>
      </x:c>
      <x:c r="J47" s="25" t="str">
        <x:v>“发盘函结构”可用于识别、预防或处理“FOB/CIF 混淆成本”。</x:v>
      </x:c>
      <x:c r="K47" s="26" t="str">
        <x:v>Forces Incoterm + named place into the offer layout.</x:v>
      </x:c>
    </x:row>
    <x:row r="48">
      <x:c r="A48" s="24" t="n">
        <x:v>2</x:v>
      </x:c>
      <x:c r="B48" s="25" t="str">
        <x:v>S2</x:v>
      </x:c>
      <x:c r="C48" s="25" t="str">
        <x:v>发盘</x:v>
      </x:c>
      <x:c r="D48" s="25" t="str">
        <x:v>P2.04</x:v>
      </x:c>
      <x:c r="E48" s="25" t="str">
        <x:v>极端价格锚定</x:v>
      </x:c>
      <x:c r="F48" s="25" t="str">
        <x:v>中</x:v>
      </x:c>
      <x:c r="G48" s="25" t="str">
        <x:v>K018</x:v>
      </x:c>
      <x:c r="H48" s="25" t="str">
        <x:v>价格锚定策略</x:v>
      </x:c>
      <x:c r="I48" s="25" t="str">
        <x:v>策略</x:v>
      </x:c>
      <x:c r="J48" s="25" t="str">
        <x:v>运用“价格锚定策略”应对“极端价格锚定”，把原则转化为可执行的谈判行动。</x:v>
      </x:c>
      <x:c r="K48" s="26" t="str">
        <x:v>Names the tactic and how to set or defuse an extreme first number.</x:v>
      </x:c>
    </x:row>
    <x:row r="49">
      <x:c r="A49" s="24" t="n">
        <x:v>2</x:v>
      </x:c>
      <x:c r="B49" s="25" t="str">
        <x:v>S2</x:v>
      </x:c>
      <x:c r="C49" s="25" t="str">
        <x:v>发盘</x:v>
      </x:c>
      <x:c r="D49" s="25" t="str">
        <x:v>P2.04</x:v>
      </x:c>
      <x:c r="E49" s="25" t="str">
        <x:v>极端价格锚定</x:v>
      </x:c>
      <x:c r="F49" s="25" t="str">
        <x:v>中</x:v>
      </x:c>
      <x:c r="G49" s="25" t="str">
        <x:v>K021</x:v>
      </x:c>
      <x:c r="H49" s="25" t="str">
        <x:v>定价因素分析</x:v>
      </x:c>
      <x:c r="I49" s="25" t="str">
        <x:v>业务流程</x:v>
      </x:c>
      <x:c r="J49" s="25" t="str">
        <x:v>“定价因素分析”可用于识别、预防或处理“极端价格锚定”。</x:v>
      </x:c>
      <x:c r="K49" s="26" t="str">
        <x:v>Answers an extreme anchor with a cost-based counter-anchor.</x:v>
      </x:c>
    </x:row>
    <x:row r="50">
      <x:c r="A50" s="24" t="n">
        <x:v>2</x:v>
      </x:c>
      <x:c r="B50" s="25" t="str">
        <x:v>S2</x:v>
      </x:c>
      <x:c r="C50" s="25" t="str">
        <x:v>发盘</x:v>
      </x:c>
      <x:c r="D50" s="25" t="str">
        <x:v>P2.04</x:v>
      </x:c>
      <x:c r="E50" s="25" t="str">
        <x:v>极端价格锚定</x:v>
      </x:c>
      <x:c r="F50" s="25" t="str">
        <x:v>中</x:v>
      </x:c>
      <x:c r="G50" s="25" t="str">
        <x:v>K025</x:v>
      </x:c>
      <x:c r="H50" s="25" t="str">
        <x:v>发盘谈判与心理策略</x:v>
      </x:c>
      <x:c r="I50" s="25" t="str">
        <x:v>策略</x:v>
      </x:c>
      <x:c r="J50" s="25" t="str">
        <x:v>运用“发盘谈判与心理策略”应对“极端价格锚定”，把原则转化为可执行的谈判行动。</x:v>
      </x:c>
      <x:c r="K50" s="26" t="str">
        <x:v>Uses packaging and justification instead of splitting the difference.</x:v>
      </x:c>
    </x:row>
    <x:row r="51">
      <x:c r="A51" s="24" t="n">
        <x:v>2</x:v>
      </x:c>
      <x:c r="B51" s="25" t="str">
        <x:v>S2</x:v>
      </x:c>
      <x:c r="C51" s="25" t="str">
        <x:v>发盘</x:v>
      </x:c>
      <x:c r="D51" s="25" t="str">
        <x:v>P2.04</x:v>
      </x:c>
      <x:c r="E51" s="25" t="str">
        <x:v>极端价格锚定</x:v>
      </x:c>
      <x:c r="F51" s="25" t="str">
        <x:v>中</x:v>
      </x:c>
      <x:c r="G51" s="25" t="str">
        <x:v>K012</x:v>
      </x:c>
      <x:c r="H51" s="25" t="str">
        <x:v>询盘阶段价格谈判</x:v>
      </x:c>
      <x:c r="I51" s="25" t="str">
        <x:v>策略</x:v>
      </x:c>
      <x:c r="J51" s="25" t="str">
        <x:v>运用“询盘阶段价格谈判”应对“极端价格锚定”，把原则转化为可执行的谈判行动。</x:v>
      </x:c>
      <x:c r="K51" s="26" t="str">
        <x:v>Connects the opening number back to what was already signalled at inquiry.</x:v>
      </x:c>
    </x:row>
    <x:row r="52">
      <x:c r="A52" s="24" t="n">
        <x:v>2</x:v>
      </x:c>
      <x:c r="B52" s="25" t="str">
        <x:v>S2</x:v>
      </x:c>
      <x:c r="C52" s="25" t="str">
        <x:v>发盘</x:v>
      </x:c>
      <x:c r="D52" s="25" t="str">
        <x:v>P2.05</x:v>
      </x:c>
      <x:c r="E52" s="25" t="str">
        <x:v>附条件发盘暗藏陷阱</x:v>
      </x:c>
      <x:c r="F52" s="25" t="str">
        <x:v>高</x:v>
      </x:c>
      <x:c r="G52" s="25" t="str">
        <x:v>K023</x:v>
      </x:c>
      <x:c r="H52" s="25" t="str">
        <x:v>附条件与限制性发盘</x:v>
      </x:c>
      <x:c r="I52" s="25" t="str">
        <x:v>法律规则</x:v>
      </x:c>
      <x:c r="J52" s="25" t="str">
        <x:v>“附条件与限制性发盘”可用于识别、预防或处理“附条件发盘暗藏陷阱”。</x:v>
      </x:c>
      <x:c r="K52" s="26" t="str">
        <x:v>Catalogues legitimate vs stacked conditions.</x:v>
      </x:c>
    </x:row>
    <x:row r="53">
      <x:c r="A53" s="24" t="n">
        <x:v>2</x:v>
      </x:c>
      <x:c r="B53" s="25" t="str">
        <x:v>S2</x:v>
      </x:c>
      <x:c r="C53" s="25" t="str">
        <x:v>发盘</x:v>
      </x:c>
      <x:c r="D53" s="25" t="str">
        <x:v>P2.05</x:v>
      </x:c>
      <x:c r="E53" s="25" t="str">
        <x:v>附条件发盘暗藏陷阱</x:v>
      </x:c>
      <x:c r="F53" s="25" t="str">
        <x:v>高</x:v>
      </x:c>
      <x:c r="G53" s="25" t="str">
        <x:v>K014</x:v>
      </x:c>
      <x:c r="H53" s="25" t="str">
        <x:v>发盘的法律性质与解释</x:v>
      </x:c>
      <x:c r="I53" s="25" t="str">
        <x:v>法律规则</x:v>
      </x:c>
      <x:c r="J53" s="25" t="str">
        <x:v>“发盘的法律性质与解释”可用于识别、预防或处理“附条件发盘暗藏陷阱”。</x:v>
      </x:c>
      <x:c r="K53" s="26" t="str">
        <x:v>Tests whether the condition leaves any definite offer at all.</x:v>
      </x:c>
    </x:row>
    <x:row r="54">
      <x:c r="A54" s="24" t="n">
        <x:v>2</x:v>
      </x:c>
      <x:c r="B54" s="25" t="str">
        <x:v>S2</x:v>
      </x:c>
      <x:c r="C54" s="25" t="str">
        <x:v>发盘</x:v>
      </x:c>
      <x:c r="D54" s="25" t="str">
        <x:v>P2.05</x:v>
      </x:c>
      <x:c r="E54" s="25" t="str">
        <x:v>附条件发盘暗藏陷阱</x:v>
      </x:c>
      <x:c r="F54" s="25" t="str">
        <x:v>高</x:v>
      </x:c>
      <x:c r="G54" s="25" t="str">
        <x:v>K024</x:v>
      </x:c>
      <x:c r="H54" s="25" t="str">
        <x:v>发盘风险管理</x:v>
      </x:c>
      <x:c r="I54" s="25" t="str">
        <x:v>风险控制</x:v>
      </x:c>
      <x:c r="J54" s="25" t="str">
        <x:v>“发盘风险管理”可用于识别、预防或处理“附条件发盘暗藏陷阱”。</x:v>
      </x:c>
      <x:c r="K54" s="26" t="str">
        <x:v>Prices the condition (licence, stock) as a risk, not as fine print.</x:v>
      </x:c>
    </x:row>
    <x:row r="55">
      <x:c r="A55" s="24" t="n">
        <x:v>2</x:v>
      </x:c>
      <x:c r="B55" s="25" t="str">
        <x:v>S2</x:v>
      </x:c>
      <x:c r="C55" s="25" t="str">
        <x:v>发盘</x:v>
      </x:c>
      <x:c r="D55" s="25" t="str">
        <x:v>P2.05</x:v>
      </x:c>
      <x:c r="E55" s="25" t="str">
        <x:v>附条件发盘暗藏陷阱</x:v>
      </x:c>
      <x:c r="F55" s="25" t="str">
        <x:v>高</x:v>
      </x:c>
      <x:c r="G55" s="25" t="str">
        <x:v>K019</x:v>
      </x:c>
      <x:c r="H55" s="25" t="str">
        <x:v>发盘函结构</x:v>
      </x:c>
      <x:c r="I55" s="25" t="str">
        <x:v>商务函电</x:v>
      </x:c>
      <x:c r="J55" s="25" t="str">
        <x:v>“发盘函结构”可用于识别、预防或处理“附条件发盘暗藏陷阱”。</x:v>
      </x:c>
      <x:c r="K55" s="26" t="str">
        <x:v>Puts every condition in a labelled clause, not in a footnote.</x:v>
      </x:c>
    </x:row>
    <x:row r="56">
      <x:c r="A56" s="24" t="n">
        <x:v>2</x:v>
      </x:c>
      <x:c r="B56" s="25" t="str">
        <x:v>S2</x:v>
      </x:c>
      <x:c r="C56" s="25" t="str">
        <x:v>发盘</x:v>
      </x:c>
      <x:c r="D56" s="25" t="str">
        <x:v>P2.06</x:v>
      </x:c>
      <x:c r="E56" s="25" t="str">
        <x:v>生效后撤回发盘</x:v>
      </x:c>
      <x:c r="F56" s="25" t="str">
        <x:v>高</x:v>
      </x:c>
      <x:c r="G56" s="25" t="str">
        <x:v>K022</x:v>
      </x:c>
      <x:c r="H56" s="25" t="str">
        <x:v>发盘的撤回与修改</x:v>
      </x:c>
      <x:c r="I56" s="25" t="str">
        <x:v>法律规则</x:v>
      </x:c>
      <x:c r="J56" s="25" t="str">
        <x:v>“发盘的撤回与修改”可用于识别、预防或处理“生效后撤回发盘”。</x:v>
      </x:c>
      <x:c r="K56" s="26" t="str">
        <x:v>States when withdrawal is still possible and when it is too late.</x:v>
      </x:c>
    </x:row>
    <x:row r="57">
      <x:c r="A57" s="24" t="n">
        <x:v>2</x:v>
      </x:c>
      <x:c r="B57" s="25" t="str">
        <x:v>S2</x:v>
      </x:c>
      <x:c r="C57" s="25" t="str">
        <x:v>发盘</x:v>
      </x:c>
      <x:c r="D57" s="25" t="str">
        <x:v>P2.06</x:v>
      </x:c>
      <x:c r="E57" s="25" t="str">
        <x:v>生效后撤回发盘</x:v>
      </x:c>
      <x:c r="F57" s="25" t="str">
        <x:v>高</x:v>
      </x:c>
      <x:c r="G57" s="25" t="str">
        <x:v>K014</x:v>
      </x:c>
      <x:c r="H57" s="25" t="str">
        <x:v>发盘的法律性质与解释</x:v>
      </x:c>
      <x:c r="I57" s="25" t="str">
        <x:v>法律规则</x:v>
      </x:c>
      <x:c r="J57" s="25" t="str">
        <x:v>“发盘的法律性质与解释”可用于识别、预防或处理“生效后撤回发盘”。</x:v>
      </x:c>
      <x:c r="K57" s="26" t="str">
        <x:v>Supplies the interpretation rules for irrevocability.</x:v>
      </x:c>
    </x:row>
    <x:row r="58">
      <x:c r="A58" s="24" t="n">
        <x:v>2</x:v>
      </x:c>
      <x:c r="B58" s="25" t="str">
        <x:v>S2</x:v>
      </x:c>
      <x:c r="C58" s="25" t="str">
        <x:v>发盘</x:v>
      </x:c>
      <x:c r="D58" s="25" t="str">
        <x:v>P2.06</x:v>
      </x:c>
      <x:c r="E58" s="25" t="str">
        <x:v>生效后撤回发盘</x:v>
      </x:c>
      <x:c r="F58" s="25" t="str">
        <x:v>高</x:v>
      </x:c>
      <x:c r="G58" s="25" t="str">
        <x:v>K015</x:v>
      </x:c>
      <x:c r="H58" s="25" t="str">
        <x:v>发盘有效期</x:v>
      </x:c>
      <x:c r="I58" s="25" t="str">
        <x:v>法律规则</x:v>
      </x:c>
      <x:c r="J58" s="25" t="str">
        <x:v>“发盘有效期”可用于识别、预防或处理“生效后撤回发盘”。</x:v>
      </x:c>
      <x:c r="K58" s="26" t="str">
        <x:v>Uses the validity period as the bright line.</x:v>
      </x:c>
    </x:row>
    <x:row r="59">
      <x:c r="A59" s="24" t="n">
        <x:v>2</x:v>
      </x:c>
      <x:c r="B59" s="25" t="str">
        <x:v>S2</x:v>
      </x:c>
      <x:c r="C59" s="25" t="str">
        <x:v>发盘</x:v>
      </x:c>
      <x:c r="D59" s="25" t="str">
        <x:v>P2.06</x:v>
      </x:c>
      <x:c r="E59" s="25" t="str">
        <x:v>生效后撤回发盘</x:v>
      </x:c>
      <x:c r="F59" s="25" t="str">
        <x:v>高</x:v>
      </x:c>
      <x:c r="G59" s="25" t="str">
        <x:v>K013</x:v>
      </x:c>
      <x:c r="H59" s="25" t="str">
        <x:v>发盘的定义</x:v>
      </x:c>
      <x:c r="I59" s="25" t="str">
        <x:v>概念</x:v>
      </x:c>
      <x:c r="J59" s="25" t="str">
        <x:v>“发盘的定义”可用于识别、预防或处理“生效后撤回发盘”。</x:v>
      </x:c>
      <x:c r="K59" s="26" t="str">
        <x:v>First asks whether a true offer ever existed.</x:v>
      </x:c>
    </x:row>
    <x:row r="60">
      <x:c r="A60" s="24" t="n">
        <x:v>2</x:v>
      </x:c>
      <x:c r="B60" s="25" t="str">
        <x:v>S2</x:v>
      </x:c>
      <x:c r="C60" s="25" t="str">
        <x:v>发盘</x:v>
      </x:c>
      <x:c r="D60" s="25" t="str">
        <x:v>P2.07</x:v>
      </x:c>
      <x:c r="E60" s="25" t="str">
        <x:v>发盘缺少主要条款</x:v>
      </x:c>
      <x:c r="F60" s="25" t="str">
        <x:v>高</x:v>
      </x:c>
      <x:c r="G60" s="25" t="str">
        <x:v>K013</x:v>
      </x:c>
      <x:c r="H60" s="25" t="str">
        <x:v>发盘的定义</x:v>
      </x:c>
      <x:c r="I60" s="25" t="str">
        <x:v>概念</x:v>
      </x:c>
      <x:c r="J60" s="25" t="str">
        <x:v>“发盘的定义”可用于识别、预防或处理“发盘缺少主要条款”。</x:v>
      </x:c>
      <x:c r="K60" s="26" t="str">
        <x:v>Tests the definition: without essential terms there is no offer.</x:v>
      </x:c>
    </x:row>
    <x:row r="61">
      <x:c r="A61" s="24" t="n">
        <x:v>2</x:v>
      </x:c>
      <x:c r="B61" s="25" t="str">
        <x:v>S2</x:v>
      </x:c>
      <x:c r="C61" s="25" t="str">
        <x:v>发盘</x:v>
      </x:c>
      <x:c r="D61" s="25" t="str">
        <x:v>P2.07</x:v>
      </x:c>
      <x:c r="E61" s="25" t="str">
        <x:v>发盘缺少主要条款</x:v>
      </x:c>
      <x:c r="F61" s="25" t="str">
        <x:v>高</x:v>
      </x:c>
      <x:c r="G61" s="25" t="str">
        <x:v>K014</x:v>
      </x:c>
      <x:c r="H61" s="25" t="str">
        <x:v>发盘的法律性质与解释</x:v>
      </x:c>
      <x:c r="I61" s="25" t="str">
        <x:v>法律规则</x:v>
      </x:c>
      <x:c r="J61" s="25" t="str">
        <x:v>“发盘的法律性质与解释”可用于识别、预防或处理“发盘缺少主要条款”。</x:v>
      </x:c>
      <x:c r="K61" s="26" t="str">
        <x:v>Applies the 'sufficiently definite' test.</x:v>
      </x:c>
    </x:row>
    <x:row r="62">
      <x:c r="A62" s="24" t="n">
        <x:v>2</x:v>
      </x:c>
      <x:c r="B62" s="25" t="str">
        <x:v>S2</x:v>
      </x:c>
      <x:c r="C62" s="25" t="str">
        <x:v>发盘</x:v>
      </x:c>
      <x:c r="D62" s="25" t="str">
        <x:v>P2.07</x:v>
      </x:c>
      <x:c r="E62" s="25" t="str">
        <x:v>发盘缺少主要条款</x:v>
      </x:c>
      <x:c r="F62" s="25" t="str">
        <x:v>高</x:v>
      </x:c>
      <x:c r="G62" s="25" t="str">
        <x:v>K019</x:v>
      </x:c>
      <x:c r="H62" s="25" t="str">
        <x:v>发盘函结构</x:v>
      </x:c>
      <x:c r="I62" s="25" t="str">
        <x:v>商务函电</x:v>
      </x:c>
      <x:c r="J62" s="25" t="str">
        <x:v>“发盘函结构”可用于识别、预防或处理“发盘缺少主要条款”。</x:v>
      </x:c>
      <x:c r="K62" s="26" t="str">
        <x:v>Provides the field checklist that makes an offer complete.</x:v>
      </x:c>
    </x:row>
    <x:row r="63">
      <x:c r="A63" s="24" t="n">
        <x:v>2</x:v>
      </x:c>
      <x:c r="B63" s="25" t="str">
        <x:v>S2</x:v>
      </x:c>
      <x:c r="C63" s="25" t="str">
        <x:v>发盘</x:v>
      </x:c>
      <x:c r="D63" s="25" t="str">
        <x:v>P2.07</x:v>
      </x:c>
      <x:c r="E63" s="25" t="str">
        <x:v>发盘缺少主要条款</x:v>
      </x:c>
      <x:c r="F63" s="25" t="str">
        <x:v>高</x:v>
      </x:c>
      <x:c r="G63" s="25" t="str">
        <x:v>K021</x:v>
      </x:c>
      <x:c r="H63" s="25" t="str">
        <x:v>定价因素分析</x:v>
      </x:c>
      <x:c r="I63" s="25" t="str">
        <x:v>业务流程</x:v>
      </x:c>
      <x:c r="J63" s="25" t="str">
        <x:v>“定价因素分析”可用于识别、预防或处理“发盘缺少主要条款”。</x:v>
      </x:c>
      <x:c r="K63" s="26" t="str">
        <x:v>Forces missing price-related terms (packing, freight) into the open.</x:v>
      </x:c>
    </x:row>
    <x:row r="64">
      <x:c r="A64" s="24" t="n">
        <x:v>2</x:v>
      </x:c>
      <x:c r="B64" s="25" t="str">
        <x:v>S2</x:v>
      </x:c>
      <x:c r="C64" s="25" t="str">
        <x:v>发盘</x:v>
      </x:c>
      <x:c r="D64" s="25" t="str">
        <x:v>P2.07</x:v>
      </x:c>
      <x:c r="E64" s="25" t="str">
        <x:v>发盘缺少主要条款</x:v>
      </x:c>
      <x:c r="F64" s="25" t="str">
        <x:v>高</x:v>
      </x:c>
      <x:c r="G64" s="25" t="str">
        <x:v>K047</x:v>
      </x:c>
      <x:c r="H64" s="25" t="str">
        <x:v>买卖合同的成立与条款</x:v>
      </x:c>
      <x:c r="I64" s="25" t="str">
        <x:v>法律规则</x:v>
      </x:c>
      <x:c r="J64" s="25" t="str">
        <x:v>“买卖合同的成立与条款”可用于识别、预防或处理“发盘缺少主要条款”。</x:v>
      </x:c>
      <x:c r="K64" s="26" t="str">
        <x:v>Shows which terms will later be needed for a valid contract.</x:v>
      </x:c>
    </x:row>
    <x:row r="65">
      <x:c r="A65" s="24" t="n">
        <x:v>3</x:v>
      </x:c>
      <x:c r="B65" s="25" t="str">
        <x:v>S3</x:v>
      </x:c>
      <x:c r="C65" s="25" t="str">
        <x:v>还盘</x:v>
      </x:c>
      <x:c r="D65" s="25" t="str">
        <x:v>P3.01</x:v>
      </x:c>
      <x:c r="E65" s="25" t="str">
        <x:v>反复还盘陷入僵局</x:v>
      </x:c>
      <x:c r="F65" s="25" t="str">
        <x:v>高</x:v>
      </x:c>
      <x:c r="G65" s="25" t="str">
        <x:v>K037</x:v>
      </x:c>
      <x:c r="H65" s="25" t="str">
        <x:v>还盘僵局处理</x:v>
      </x:c>
      <x:c r="I65" s="25" t="str">
        <x:v>策略</x:v>
      </x:c>
      <x:c r="J65" s="25" t="str">
        <x:v>运用“还盘僵局处理”应对“反复还盘陷入僵局”，把原则转化为可执行的谈判行动。</x:v>
      </x:c>
      <x:c r="K65" s="26" t="str">
        <x:v>Changes the package instead of grinding the same number.</x:v>
      </x:c>
    </x:row>
    <x:row r="66">
      <x:c r="A66" s="24" t="n">
        <x:v>3</x:v>
      </x:c>
      <x:c r="B66" s="25" t="str">
        <x:v>S3</x:v>
      </x:c>
      <x:c r="C66" s="25" t="str">
        <x:v>还盘</x:v>
      </x:c>
      <x:c r="D66" s="25" t="str">
        <x:v>P3.01</x:v>
      </x:c>
      <x:c r="E66" s="25" t="str">
        <x:v>反复还盘陷入僵局</x:v>
      </x:c>
      <x:c r="F66" s="25" t="str">
        <x:v>高</x:v>
      </x:c>
      <x:c r="G66" s="25" t="str">
        <x:v>K029</x:v>
      </x:c>
      <x:c r="H66" s="25" t="str">
        <x:v>以退为进策略</x:v>
      </x:c>
      <x:c r="I66" s="25" t="str">
        <x:v>策略</x:v>
      </x:c>
      <x:c r="J66" s="25" t="str">
        <x:v>运用“以退为进策略”应对“反复还盘陷入僵局”，把原则转化为可执行的谈判行动。</x:v>
      </x:c>
      <x:c r="K66" s="26" t="str">
        <x:v>Uses a low-cost retreat to reopen a high-value item.</x:v>
      </x:c>
    </x:row>
    <x:row r="67">
      <x:c r="A67" s="24" t="n">
        <x:v>3</x:v>
      </x:c>
      <x:c r="B67" s="25" t="str">
        <x:v>S3</x:v>
      </x:c>
      <x:c r="C67" s="25" t="str">
        <x:v>还盘</x:v>
      </x:c>
      <x:c r="D67" s="25" t="str">
        <x:v>P3.01</x:v>
      </x:c>
      <x:c r="E67" s="25" t="str">
        <x:v>反复还盘陷入僵局</x:v>
      </x:c>
      <x:c r="F67" s="25" t="str">
        <x:v>高</x:v>
      </x:c>
      <x:c r="G67" s="25" t="str">
        <x:v>K030</x:v>
      </x:c>
      <x:c r="H67" s="25" t="str">
        <x:v>互惠让步策略</x:v>
      </x:c>
      <x:c r="I67" s="25" t="str">
        <x:v>策略</x:v>
      </x:c>
      <x:c r="J67" s="25" t="str">
        <x:v>运用“互惠让步策略”应对“反复还盘陷入僵局”，把原则转化为可执行的谈判行动。</x:v>
      </x:c>
      <x:c r="K67" s="26" t="str">
        <x:v>Restores two-way movement so the loop can end.</x:v>
      </x:c>
    </x:row>
    <x:row r="68">
      <x:c r="A68" s="24" t="n">
        <x:v>3</x:v>
      </x:c>
      <x:c r="B68" s="25" t="str">
        <x:v>S3</x:v>
      </x:c>
      <x:c r="C68" s="25" t="str">
        <x:v>还盘</x:v>
      </x:c>
      <x:c r="D68" s="25" t="str">
        <x:v>P3.01</x:v>
      </x:c>
      <x:c r="E68" s="25" t="str">
        <x:v>反复还盘陷入僵局</x:v>
      </x:c>
      <x:c r="F68" s="25" t="str">
        <x:v>高</x:v>
      </x:c>
      <x:c r="G68" s="25" t="str">
        <x:v>K031</x:v>
      </x:c>
      <x:c r="H68" s="25" t="str">
        <x:v>四阶段让步策略</x:v>
      </x:c>
      <x:c r="I68" s="25" t="str">
        <x:v>策略</x:v>
      </x:c>
      <x:c r="J68" s="25" t="str">
        <x:v>运用“四阶段让步策略”应对“反复还盘陷入僵局”，把原则转化为可执行的谈判行动。</x:v>
      </x:c>
      <x:c r="K68" s="26" t="str">
        <x:v>Signals the floor with decreasing concession steps.</x:v>
      </x:c>
    </x:row>
    <x:row r="69">
      <x:c r="A69" s="24" t="n">
        <x:v>3</x:v>
      </x:c>
      <x:c r="B69" s="25" t="str">
        <x:v>S3</x:v>
      </x:c>
      <x:c r="C69" s="25" t="str">
        <x:v>还盘</x:v>
      </x:c>
      <x:c r="D69" s="25" t="str">
        <x:v>P3.01</x:v>
      </x:c>
      <x:c r="E69" s="25" t="str">
        <x:v>反复还盘陷入僵局</x:v>
      </x:c>
      <x:c r="F69" s="25" t="str">
        <x:v>高</x:v>
      </x:c>
      <x:c r="G69" s="25" t="str">
        <x:v>K035</x:v>
      </x:c>
      <x:c r="H69" s="25" t="str">
        <x:v>还盘机会评估</x:v>
      </x:c>
      <x:c r="I69" s="25" t="str">
        <x:v>策略</x:v>
      </x:c>
      <x:c r="J69" s="25" t="str">
        <x:v>运用“还盘机会评估”应对“反复还盘陷入僵局”，把原则转化为可执行的谈判行动。</x:v>
      </x:c>
      <x:c r="K69" s="26" t="str">
        <x:v>Asks whether this is still a counter-offer opportunity or a walk-away.</x:v>
      </x:c>
    </x:row>
    <x:row r="70">
      <x:c r="A70" s="24" t="n">
        <x:v>3</x:v>
      </x:c>
      <x:c r="B70" s="25" t="str">
        <x:v>S3</x:v>
      </x:c>
      <x:c r="C70" s="25" t="str">
        <x:v>还盘</x:v>
      </x:c>
      <x:c r="D70" s="25" t="str">
        <x:v>P3.01</x:v>
      </x:c>
      <x:c r="E70" s="25" t="str">
        <x:v>反复还盘陷入僵局</x:v>
      </x:c>
      <x:c r="F70" s="25" t="str">
        <x:v>高</x:v>
      </x:c>
      <x:c r="G70" s="25" t="str">
        <x:v>K069</x:v>
      </x:c>
      <x:c r="H70" s="25" t="str">
        <x:v>付款方式僵局处理</x:v>
      </x:c>
      <x:c r="I70" s="25" t="str">
        <x:v>策略</x:v>
      </x:c>
      <x:c r="J70" s="25" t="str">
        <x:v>运用“付款方式僵局处理”应对“反复还盘陷入僵局”，把原则转化为可执行的谈判行动。</x:v>
      </x:c>
      <x:c r="K70" s="26" t="str">
        <x:v>If the loop is about payment, switches to payment-deadlock tools.</x:v>
      </x:c>
    </x:row>
    <x:row r="71">
      <x:c r="A71" s="24" t="n">
        <x:v>3</x:v>
      </x:c>
      <x:c r="B71" s="25" t="str">
        <x:v>S3</x:v>
      </x:c>
      <x:c r="C71" s="25" t="str">
        <x:v>还盘</x:v>
      </x:c>
      <x:c r="D71" s="25" t="str">
        <x:v>P3.02</x:v>
      </x:c>
      <x:c r="E71" s="25" t="str">
        <x:v>还盘使原发盘失效</x:v>
      </x:c>
      <x:c r="F71" s="25" t="str">
        <x:v>高</x:v>
      </x:c>
      <x:c r="G71" s="25" t="str">
        <x:v>K026</x:v>
      </x:c>
      <x:c r="H71" s="25" t="str">
        <x:v>还盘的法律性质与解释</x:v>
      </x:c>
      <x:c r="I71" s="25" t="str">
        <x:v>法律规则</x:v>
      </x:c>
      <x:c r="J71" s="25" t="str">
        <x:v>“还盘的法律性质与解释”可用于识别、预防或处理“还盘使原发盘失效”。</x:v>
      </x:c>
      <x:c r="K71" s="26" t="str">
        <x:v>States the legal effect: a material counter-offer kills the original.</x:v>
      </x:c>
    </x:row>
    <x:row r="72">
      <x:c r="A72" s="24" t="n">
        <x:v>3</x:v>
      </x:c>
      <x:c r="B72" s="25" t="str">
        <x:v>S3</x:v>
      </x:c>
      <x:c r="C72" s="25" t="str">
        <x:v>还盘</x:v>
      </x:c>
      <x:c r="D72" s="25" t="str">
        <x:v>P3.02</x:v>
      </x:c>
      <x:c r="E72" s="25" t="str">
        <x:v>还盘使原发盘失效</x:v>
      </x:c>
      <x:c r="F72" s="25" t="str">
        <x:v>高</x:v>
      </x:c>
      <x:c r="G72" s="25" t="str">
        <x:v>K027</x:v>
      </x:c>
      <x:c r="H72" s="25" t="str">
        <x:v>还盘后的权利义务转移</x:v>
      </x:c>
      <x:c r="I72" s="25" t="str">
        <x:v>法律规则</x:v>
      </x:c>
      <x:c r="J72" s="25" t="str">
        <x:v>“还盘后的权利义务转移”可用于识别、预防或处理“还盘使原发盘失效”。</x:v>
      </x:c>
      <x:c r="K72" s="26" t="str">
        <x:v>Shows who now holds the power of acceptance.</x:v>
      </x:c>
    </x:row>
    <x:row r="73">
      <x:c r="A73" s="24" t="n">
        <x:v>3</x:v>
      </x:c>
      <x:c r="B73" s="25" t="str">
        <x:v>S3</x:v>
      </x:c>
      <x:c r="C73" s="25" t="str">
        <x:v>还盘</x:v>
      </x:c>
      <x:c r="D73" s="25" t="str">
        <x:v>P3.02</x:v>
      </x:c>
      <x:c r="E73" s="25" t="str">
        <x:v>还盘使原发盘失效</x:v>
      </x:c>
      <x:c r="F73" s="25" t="str">
        <x:v>高</x:v>
      </x:c>
      <x:c r="G73" s="25" t="str">
        <x:v>K028</x:v>
      </x:c>
      <x:c r="H73" s="25" t="str">
        <x:v>还盘流程逻辑</x:v>
      </x:c>
      <x:c r="I73" s="25" t="str">
        <x:v>概念</x:v>
      </x:c>
      <x:c r="J73" s="25" t="str">
        <x:v>“还盘流程逻辑”可用于识别、预防或处理“还盘使原发盘失效”。</x:v>
      </x:c>
      <x:c r="K73" s="26" t="str">
        <x:v>Keeps a live-offer log so the fallback is not assumed.</x:v>
      </x:c>
    </x:row>
    <x:row r="74">
      <x:c r="A74" s="24" t="n">
        <x:v>3</x:v>
      </x:c>
      <x:c r="B74" s="25" t="str">
        <x:v>S3</x:v>
      </x:c>
      <x:c r="C74" s="25" t="str">
        <x:v>还盘</x:v>
      </x:c>
      <x:c r="D74" s="25" t="str">
        <x:v>P3.02</x:v>
      </x:c>
      <x:c r="E74" s="25" t="str">
        <x:v>还盘使原发盘失效</x:v>
      </x:c>
      <x:c r="F74" s="25" t="str">
        <x:v>高</x:v>
      </x:c>
      <x:c r="G74" s="25" t="str">
        <x:v>K033</x:v>
      </x:c>
      <x:c r="H74" s="25" t="str">
        <x:v>还盘风险控制</x:v>
      </x:c>
      <x:c r="I74" s="25" t="str">
        <x:v>风险控制</x:v>
      </x:c>
      <x:c r="J74" s="25" t="str">
        <x:v>“还盘风险控制”可用于识别、预防或处理“还盘使原发盘失效”。</x:v>
      </x:c>
      <x:c r="K74" s="26" t="str">
        <x:v>Stops performance against a dead version of the deal.</x:v>
      </x:c>
    </x:row>
    <x:row r="75">
      <x:c r="A75" s="24" t="n">
        <x:v>3</x:v>
      </x:c>
      <x:c r="B75" s="25" t="str">
        <x:v>S3</x:v>
      </x:c>
      <x:c r="C75" s="25" t="str">
        <x:v>还盘</x:v>
      </x:c>
      <x:c r="D75" s="25" t="str">
        <x:v>P3.02</x:v>
      </x:c>
      <x:c r="E75" s="25" t="str">
        <x:v>还盘使原发盘失效</x:v>
      </x:c>
      <x:c r="F75" s="25" t="str">
        <x:v>高</x:v>
      </x:c>
      <x:c r="G75" s="25" t="str">
        <x:v>K032</x:v>
      </x:c>
      <x:c r="H75" s="25" t="str">
        <x:v>还盘函结构、语言与礼仪</x:v>
      </x:c>
      <x:c r="I75" s="25" t="str">
        <x:v>商务函电</x:v>
      </x:c>
      <x:c r="J75" s="25" t="str">
        <x:v>“还盘函结构、语言与礼仪”可用于识别、预防或处理“还盘使原发盘失效”。</x:v>
      </x:c>
      <x:c r="K75" s="26" t="str">
        <x:v>Wording can reserve 'without prejudice to your original offer' if that is the intent.</x:v>
      </x:c>
    </x:row>
    <x:row r="76">
      <x:c r="A76" s="24" t="n">
        <x:v>3</x:v>
      </x:c>
      <x:c r="B76" s="25" t="str">
        <x:v>S3</x:v>
      </x:c>
      <x:c r="C76" s="25" t="str">
        <x:v>还盘</x:v>
      </x:c>
      <x:c r="D76" s="25" t="str">
        <x:v>P3.03</x:v>
      </x:c>
      <x:c r="E76" s="25" t="str">
        <x:v>沉默或行为被视为接受</x:v>
      </x:c>
      <x:c r="F76" s="25" t="str">
        <x:v>高</x:v>
      </x:c>
      <x:c r="G76" s="25" t="str">
        <x:v>K034</x:v>
      </x:c>
      <x:c r="H76" s="25" t="str">
        <x:v>还盘、沉默与默示接受</x:v>
      </x:c>
      <x:c r="I76" s="25" t="str">
        <x:v>法律规则</x:v>
      </x:c>
      <x:c r="J76" s="25" t="str">
        <x:v>“还盘、沉默与默示接受”可用于识别、预防或处理“沉默或行为被视为接受”。</x:v>
      </x:c>
      <x:c r="K76" s="26" t="str">
        <x:v>States the default: silence is not acceptance; conduct may be.</x:v>
      </x:c>
    </x:row>
    <x:row r="77">
      <x:c r="A77" s="24" t="n">
        <x:v>3</x:v>
      </x:c>
      <x:c r="B77" s="25" t="str">
        <x:v>S3</x:v>
      </x:c>
      <x:c r="C77" s="25" t="str">
        <x:v>还盘</x:v>
      </x:c>
      <x:c r="D77" s="25" t="str">
        <x:v>P3.03</x:v>
      </x:c>
      <x:c r="E77" s="25" t="str">
        <x:v>沉默或行为被视为接受</x:v>
      </x:c>
      <x:c r="F77" s="25" t="str">
        <x:v>高</x:v>
      </x:c>
      <x:c r="G77" s="25" t="str">
        <x:v>K026</x:v>
      </x:c>
      <x:c r="H77" s="25" t="str">
        <x:v>还盘的法律性质与解释</x:v>
      </x:c>
      <x:c r="I77" s="25" t="str">
        <x:v>法律规则</x:v>
      </x:c>
      <x:c r="J77" s="25" t="str">
        <x:v>“还盘的法律性质与解释”可用于识别、预防或处理“沉默或行为被视为接受”。</x:v>
      </x:c>
      <x:c r="K77" s="26" t="str">
        <x:v>Separates a counter-offer sitting unanswered from an accepted contract.</x:v>
      </x:c>
    </x:row>
    <x:row r="78">
      <x:c r="A78" s="24" t="n">
        <x:v>3</x:v>
      </x:c>
      <x:c r="B78" s="25" t="str">
        <x:v>S3</x:v>
      </x:c>
      <x:c r="C78" s="25" t="str">
        <x:v>还盘</x:v>
      </x:c>
      <x:c r="D78" s="25" t="str">
        <x:v>P3.03</x:v>
      </x:c>
      <x:c r="E78" s="25" t="str">
        <x:v>沉默或行为被视为接受</x:v>
      </x:c>
      <x:c r="F78" s="25" t="str">
        <x:v>高</x:v>
      </x:c>
      <x:c r="G78" s="25" t="str">
        <x:v>K033</x:v>
      </x:c>
      <x:c r="H78" s="25" t="str">
        <x:v>还盘风险控制</x:v>
      </x:c>
      <x:c r="I78" s="25" t="str">
        <x:v>风险控制</x:v>
      </x:c>
      <x:c r="J78" s="25" t="str">
        <x:v>“还盘风险控制”可用于识别、预防或处理“沉默或行为被视为接受”。</x:v>
      </x:c>
      <x:c r="K78" s="26" t="str">
        <x:v>Forbids shipping or paying 'to keep things moving' while terms are open.</x:v>
      </x:c>
    </x:row>
    <x:row r="79">
      <x:c r="A79" s="24" t="n">
        <x:v>3</x:v>
      </x:c>
      <x:c r="B79" s="25" t="str">
        <x:v>S3</x:v>
      </x:c>
      <x:c r="C79" s="25" t="str">
        <x:v>还盘</x:v>
      </x:c>
      <x:c r="D79" s="25" t="str">
        <x:v>P3.03</x:v>
      </x:c>
      <x:c r="E79" s="25" t="str">
        <x:v>沉默或行为被视为接受</x:v>
      </x:c>
      <x:c r="F79" s="25" t="str">
        <x:v>高</x:v>
      </x:c>
      <x:c r="G79" s="25" t="str">
        <x:v>K040</x:v>
      </x:c>
      <x:c r="H79" s="25" t="str">
        <x:v>有效接受的构成要件</x:v>
      </x:c>
      <x:c r="I79" s="25" t="str">
        <x:v>法律规则</x:v>
      </x:c>
      <x:c r="J79" s="25" t="str">
        <x:v>“有效接受的构成要件”可用于识别、预防或处理“沉默或行为被视为接受”。</x:v>
      </x:c>
      <x:c r="K79" s="26" t="str">
        <x:v>Recalls what a valid acceptance actually requires.</x:v>
      </x:c>
    </x:row>
    <x:row r="80">
      <x:c r="A80" s="24" t="n">
        <x:v>3</x:v>
      </x:c>
      <x:c r="B80" s="25" t="str">
        <x:v>S3</x:v>
      </x:c>
      <x:c r="C80" s="25" t="str">
        <x:v>还盘</x:v>
      </x:c>
      <x:c r="D80" s="25" t="str">
        <x:v>P3.03</x:v>
      </x:c>
      <x:c r="E80" s="25" t="str">
        <x:v>沉默或行为被视为接受</x:v>
      </x:c>
      <x:c r="F80" s="25" t="str">
        <x:v>高</x:v>
      </x:c>
      <x:c r="G80" s="25" t="str">
        <x:v>K045</x:v>
      </x:c>
      <x:c r="H80" s="25" t="str">
        <x:v>接受与订货的跨文化差异</x:v>
      </x:c>
      <x:c r="I80" s="25" t="str">
        <x:v>跨文化</x:v>
      </x:c>
      <x:c r="J80" s="25" t="str">
        <x:v>“接受与订货的跨文化差异”可用于识别、预防或处理“沉默或行为被视为接受”。</x:v>
      </x:c>
      <x:c r="K80" s="26" t="str">
        <x:v>Flags cultures where silence is polite, not assent.</x:v>
      </x:c>
    </x:row>
    <x:row r="81">
      <x:c r="A81" s="24" t="n">
        <x:v>3</x:v>
      </x:c>
      <x:c r="B81" s="25" t="str">
        <x:v>S3</x:v>
      </x:c>
      <x:c r="C81" s="25" t="str">
        <x:v>还盘</x:v>
      </x:c>
      <x:c r="D81" s="25" t="str">
        <x:v>P3.04</x:v>
      </x:c>
      <x:c r="E81" s="25" t="str">
        <x:v>单方面持续让步</x:v>
      </x:c>
      <x:c r="F81" s="25" t="str">
        <x:v>中</x:v>
      </x:c>
      <x:c r="G81" s="25" t="str">
        <x:v>K030</x:v>
      </x:c>
      <x:c r="H81" s="25" t="str">
        <x:v>互惠让步策略</x:v>
      </x:c>
      <x:c r="I81" s="25" t="str">
        <x:v>策略</x:v>
      </x:c>
      <x:c r="J81" s="25" t="str">
        <x:v>运用“互惠让步策略”应对“单方面持续让步”，把原则转化为可执行的谈判行动。</x:v>
      </x:c>
      <x:c r="K81" s="26" t="str">
        <x:v>Installs reciprocity as a rule of the table.</x:v>
      </x:c>
    </x:row>
    <x:row r="82">
      <x:c r="A82" s="24" t="n">
        <x:v>3</x:v>
      </x:c>
      <x:c r="B82" s="25" t="str">
        <x:v>S3</x:v>
      </x:c>
      <x:c r="C82" s="25" t="str">
        <x:v>还盘</x:v>
      </x:c>
      <x:c r="D82" s="25" t="str">
        <x:v>P3.04</x:v>
      </x:c>
      <x:c r="E82" s="25" t="str">
        <x:v>单方面持续让步</x:v>
      </x:c>
      <x:c r="F82" s="25" t="str">
        <x:v>中</x:v>
      </x:c>
      <x:c r="G82" s="25" t="str">
        <x:v>K031</x:v>
      </x:c>
      <x:c r="H82" s="25" t="str">
        <x:v>四阶段让步策略</x:v>
      </x:c>
      <x:c r="I82" s="25" t="str">
        <x:v>策略</x:v>
      </x:c>
      <x:c r="J82" s="25" t="str">
        <x:v>运用“四阶段让步策略”应对“单方面持续让步”，把原则转化为可执行的谈判行动。</x:v>
      </x:c>
      <x:c r="K82" s="26" t="str">
        <x:v>Stops large early concessions that teach the other side to wait.</x:v>
      </x:c>
    </x:row>
    <x:row r="83">
      <x:c r="A83" s="24" t="n">
        <x:v>3</x:v>
      </x:c>
      <x:c r="B83" s="25" t="str">
        <x:v>S3</x:v>
      </x:c>
      <x:c r="C83" s="25" t="str">
        <x:v>还盘</x:v>
      </x:c>
      <x:c r="D83" s="25" t="str">
        <x:v>P3.04</x:v>
      </x:c>
      <x:c r="E83" s="25" t="str">
        <x:v>单方面持续让步</x:v>
      </x:c>
      <x:c r="F83" s="25" t="str">
        <x:v>中</x:v>
      </x:c>
      <x:c r="G83" s="25" t="str">
        <x:v>K038</x:v>
      </x:c>
      <x:c r="H83" s="25" t="str">
        <x:v>还盘后的磋商技巧</x:v>
      </x:c>
      <x:c r="I83" s="25" t="str">
        <x:v>策略</x:v>
      </x:c>
      <x:c r="J83" s="25" t="str">
        <x:v>运用“还盘后的磋商技巧”应对“单方面持续让步”，把原则转化为可执行的谈判行动。</x:v>
      </x:c>
      <x:c r="K83" s="26" t="str">
        <x:v>Packages remaining trades after the first counter.</x:v>
      </x:c>
    </x:row>
    <x:row r="84">
      <x:c r="A84" s="24" t="n">
        <x:v>3</x:v>
      </x:c>
      <x:c r="B84" s="25" t="str">
        <x:v>S3</x:v>
      </x:c>
      <x:c r="C84" s="25" t="str">
        <x:v>还盘</x:v>
      </x:c>
      <x:c r="D84" s="25" t="str">
        <x:v>P3.04</x:v>
      </x:c>
      <x:c r="E84" s="25" t="str">
        <x:v>单方面持续让步</x:v>
      </x:c>
      <x:c r="F84" s="25" t="str">
        <x:v>中</x:v>
      </x:c>
      <x:c r="G84" s="25" t="str">
        <x:v>K029</x:v>
      </x:c>
      <x:c r="H84" s="25" t="str">
        <x:v>以退为进策略</x:v>
      </x:c>
      <x:c r="I84" s="25" t="str">
        <x:v>策略</x:v>
      </x:c>
      <x:c r="J84" s="25" t="str">
        <x:v>运用“以退为进策略”应对“单方面持续让步”，把原则转化为可执行的谈判行动。</x:v>
      </x:c>
      <x:c r="K84" s="26" t="str">
        <x:v>Makes any retreat conditional on an advance.</x:v>
      </x:c>
    </x:row>
    <x:row r="85">
      <x:c r="A85" s="24" t="n">
        <x:v>3</x:v>
      </x:c>
      <x:c r="B85" s="25" t="str">
        <x:v>S3</x:v>
      </x:c>
      <x:c r="C85" s="25" t="str">
        <x:v>还盘</x:v>
      </x:c>
      <x:c r="D85" s="25" t="str">
        <x:v>P3.05</x:v>
      </x:c>
      <x:c r="E85" s="25" t="str">
        <x:v>威胁对方面子的谈判</x:v>
      </x:c>
      <x:c r="F85" s="25" t="str">
        <x:v>中</x:v>
      </x:c>
      <x:c r="G85" s="25" t="str">
        <x:v>K036</x:v>
      </x:c>
      <x:c r="H85" s="25" t="str">
        <x:v>还盘心理与保全面子策略</x:v>
      </x:c>
      <x:c r="I85" s="25" t="str">
        <x:v>策略</x:v>
      </x:c>
      <x:c r="J85" s="25" t="str">
        <x:v>运用“还盘心理与保全面子策略”应对“威胁对方面子的谈判”，把原则转化为可执行的谈判行动。</x:v>
      </x:c>
      <x:c r="K85" s="26" t="str">
        <x:v>Gives a dignified off-ramp instead of a public no.</x:v>
      </x:c>
    </x:row>
    <x:row r="86">
      <x:c r="A86" s="24" t="n">
        <x:v>3</x:v>
      </x:c>
      <x:c r="B86" s="25" t="str">
        <x:v>S3</x:v>
      </x:c>
      <x:c r="C86" s="25" t="str">
        <x:v>还盘</x:v>
      </x:c>
      <x:c r="D86" s="25" t="str">
        <x:v>P3.05</x:v>
      </x:c>
      <x:c r="E86" s="25" t="str">
        <x:v>威胁对方面子的谈判</x:v>
      </x:c>
      <x:c r="F86" s="25" t="str">
        <x:v>中</x:v>
      </x:c>
      <x:c r="G86" s="25" t="str">
        <x:v>K032</x:v>
      </x:c>
      <x:c r="H86" s="25" t="str">
        <x:v>还盘函结构、语言与礼仪</x:v>
      </x:c>
      <x:c r="I86" s="25" t="str">
        <x:v>商务函电</x:v>
      </x:c>
      <x:c r="J86" s="25" t="str">
        <x:v>“还盘函结构、语言与礼仪”可用于识别、预防或处理“威胁对方面子的谈判”。</x:v>
      </x:c>
      <x:c r="K86" s="26" t="str">
        <x:v>Supplies face-saving letter language.</x:v>
      </x:c>
    </x:row>
    <x:row r="87">
      <x:c r="A87" s="24" t="n">
        <x:v>3</x:v>
      </x:c>
      <x:c r="B87" s="25" t="str">
        <x:v>S3</x:v>
      </x:c>
      <x:c r="C87" s="25" t="str">
        <x:v>还盘</x:v>
      </x:c>
      <x:c r="D87" s="25" t="str">
        <x:v>P3.05</x:v>
      </x:c>
      <x:c r="E87" s="25" t="str">
        <x:v>威胁对方面子的谈判</x:v>
      </x:c>
      <x:c r="F87" s="25" t="str">
        <x:v>中</x:v>
      </x:c>
      <x:c r="G87" s="25" t="str">
        <x:v>K007</x:v>
      </x:c>
      <x:c r="H87" s="25" t="str">
        <x:v>询盘礼仪与跨文化差异</x:v>
      </x:c>
      <x:c r="I87" s="25" t="str">
        <x:v>跨文化</x:v>
      </x:c>
      <x:c r="J87" s="25" t="str">
        <x:v>“询盘礼仪与跨文化差异”可用于识别、预防或处理“威胁对方面子的谈判”。</x:v>
      </x:c>
      <x:c r="K87" s="26" t="str">
        <x:v>Connects first-contact etiquette to later bargaining tone.</x:v>
      </x:c>
    </x:row>
    <x:row r="88">
      <x:c r="A88" s="24" t="n">
        <x:v>3</x:v>
      </x:c>
      <x:c r="B88" s="25" t="str">
        <x:v>S3</x:v>
      </x:c>
      <x:c r="C88" s="25" t="str">
        <x:v>还盘</x:v>
      </x:c>
      <x:c r="D88" s="25" t="str">
        <x:v>P3.05</x:v>
      </x:c>
      <x:c r="E88" s="25" t="str">
        <x:v>威胁对方面子的谈判</x:v>
      </x:c>
      <x:c r="F88" s="25" t="str">
        <x:v>中</x:v>
      </x:c>
      <x:c r="G88" s="25" t="str">
        <x:v>K100</x:v>
      </x:c>
      <x:c r="H88" s="25" t="str">
        <x:v>保险与仲裁的跨文化差异</x:v>
      </x:c>
      <x:c r="I88" s="25" t="str">
        <x:v>跨文化</x:v>
      </x:c>
      <x:c r="J88" s="25" t="str">
        <x:v>“保险与仲裁的跨文化差异”可用于识别、预防或处理“威胁对方面子的谈判”。</x:v>
      </x:c>
      <x:c r="K88" s="26" t="str">
        <x:v>Prepares the same face logic for later dispute clauses.</x:v>
      </x:c>
    </x:row>
    <x:row r="89">
      <x:c r="A89" s="24" t="n">
        <x:v>3</x:v>
      </x:c>
      <x:c r="B89" s="25" t="str">
        <x:v>S3</x:v>
      </x:c>
      <x:c r="C89" s="25" t="str">
        <x:v>还盘</x:v>
      </x:c>
      <x:c r="D89" s="25" t="str">
        <x:v>P3.06</x:v>
      </x:c>
      <x:c r="E89" s="25" t="str">
        <x:v>意外变更主要条款</x:v>
      </x:c>
      <x:c r="F89" s="25" t="str">
        <x:v>高</x:v>
      </x:c>
      <x:c r="G89" s="25" t="str">
        <x:v>K026</x:v>
      </x:c>
      <x:c r="H89" s="25" t="str">
        <x:v>还盘的法律性质与解释</x:v>
      </x:c>
      <x:c r="I89" s="25" t="str">
        <x:v>法律规则</x:v>
      </x:c>
      <x:c r="J89" s="25" t="str">
        <x:v>“还盘的法律性质与解释”可用于识别、预防或处理“意外变更主要条款”。</x:v>
      </x:c>
      <x:c r="K89" s="26" t="str">
        <x:v>Tests whether the 'tweak' is legally a counter-offer.</x:v>
      </x:c>
    </x:row>
    <x:row r="90">
      <x:c r="A90" s="24" t="n">
        <x:v>3</x:v>
      </x:c>
      <x:c r="B90" s="25" t="str">
        <x:v>S3</x:v>
      </x:c>
      <x:c r="C90" s="25" t="str">
        <x:v>还盘</x:v>
      </x:c>
      <x:c r="D90" s="25" t="str">
        <x:v>P3.06</x:v>
      </x:c>
      <x:c r="E90" s="25" t="str">
        <x:v>意外变更主要条款</x:v>
      </x:c>
      <x:c r="F90" s="25" t="str">
        <x:v>高</x:v>
      </x:c>
      <x:c r="G90" s="25" t="str">
        <x:v>K041</x:v>
      </x:c>
      <x:c r="H90" s="25" t="str">
        <x:v>接受与还盘的区分</x:v>
      </x:c>
      <x:c r="I90" s="25" t="str">
        <x:v>法律规则</x:v>
      </x:c>
      <x:c r="J90" s="25" t="str">
        <x:v>“接受与还盘的区分”可用于识别、预防或处理“意外变更主要条款”。</x:v>
      </x:c>
      <x:c r="K90" s="26" t="str">
        <x:v>Draws the acceptance vs counter-offer line on the same facts.</x:v>
      </x:c>
    </x:row>
    <x:row r="91">
      <x:c r="A91" s="24" t="n">
        <x:v>3</x:v>
      </x:c>
      <x:c r="B91" s="25" t="str">
        <x:v>S3</x:v>
      </x:c>
      <x:c r="C91" s="25" t="str">
        <x:v>还盘</x:v>
      </x:c>
      <x:c r="D91" s="25" t="str">
        <x:v>P3.06</x:v>
      </x:c>
      <x:c r="E91" s="25" t="str">
        <x:v>意外变更主要条款</x:v>
      </x:c>
      <x:c r="F91" s="25" t="str">
        <x:v>高</x:v>
      </x:c>
      <x:c r="G91" s="25" t="str">
        <x:v>K033</x:v>
      </x:c>
      <x:c r="H91" s="25" t="str">
        <x:v>还盘风险控制</x:v>
      </x:c>
      <x:c r="I91" s="25" t="str">
        <x:v>风险控制</x:v>
      </x:c>
      <x:c r="J91" s="25" t="str">
        <x:v>“还盘风险控制”可用于识别、预防或处理“意外变更主要条款”。</x:v>
      </x:c>
      <x:c r="K91" s="26" t="str">
        <x:v>Requires a redline of every changed field before sending.</x:v>
      </x:c>
    </x:row>
    <x:row r="92">
      <x:c r="A92" s="24" t="n">
        <x:v>3</x:v>
      </x:c>
      <x:c r="B92" s="25" t="str">
        <x:v>S3</x:v>
      </x:c>
      <x:c r="C92" s="25" t="str">
        <x:v>还盘</x:v>
      </x:c>
      <x:c r="D92" s="25" t="str">
        <x:v>P3.06</x:v>
      </x:c>
      <x:c r="E92" s="25" t="str">
        <x:v>意外变更主要条款</x:v>
      </x:c>
      <x:c r="F92" s="25" t="str">
        <x:v>高</x:v>
      </x:c>
      <x:c r="G92" s="25" t="str">
        <x:v>K032</x:v>
      </x:c>
      <x:c r="H92" s="25" t="str">
        <x:v>还盘函结构、语言与礼仪</x:v>
      </x:c>
      <x:c r="I92" s="25" t="str">
        <x:v>商务函电</x:v>
      </x:c>
      <x:c r="J92" s="25" t="str">
        <x:v>“还盘函结构、语言与礼仪”可用于识别、预防或处理“意外变更主要条款”。</x:v>
      </x:c>
      <x:c r="K92" s="26" t="str">
        <x:v>Uses a change table so nothing material hides in prose.</x:v>
      </x:c>
    </x:row>
    <x:row r="93">
      <x:c r="A93" s="24" t="n">
        <x:v>3</x:v>
      </x:c>
      <x:c r="B93" s="25" t="str">
        <x:v>S3</x:v>
      </x:c>
      <x:c r="C93" s="25" t="str">
        <x:v>还盘</x:v>
      </x:c>
      <x:c r="D93" s="25" t="str">
        <x:v>P3.07</x:v>
      </x:c>
      <x:c r="E93" s="25" t="str">
        <x:v>还盘时机或措辞不当</x:v>
      </x:c>
      <x:c r="F93" s="25" t="str">
        <x:v>中</x:v>
      </x:c>
      <x:c r="G93" s="25" t="str">
        <x:v>K035</x:v>
      </x:c>
      <x:c r="H93" s="25" t="str">
        <x:v>还盘机会评估</x:v>
      </x:c>
      <x:c r="I93" s="25" t="str">
        <x:v>策略</x:v>
      </x:c>
      <x:c r="J93" s="25" t="str">
        <x:v>运用“还盘机会评估”应对“还盘时机或措辞不当”，把原则转化为可执行的谈判行动。</x:v>
      </x:c>
      <x:c r="K93" s="26" t="str">
        <x:v>Chooses whether and when a counter-offer is still worth making.</x:v>
      </x:c>
    </x:row>
    <x:row r="94">
      <x:c r="A94" s="24" t="n">
        <x:v>3</x:v>
      </x:c>
      <x:c r="B94" s="25" t="str">
        <x:v>S3</x:v>
      </x:c>
      <x:c r="C94" s="25" t="str">
        <x:v>还盘</x:v>
      </x:c>
      <x:c r="D94" s="25" t="str">
        <x:v>P3.07</x:v>
      </x:c>
      <x:c r="E94" s="25" t="str">
        <x:v>还盘时机或措辞不当</x:v>
      </x:c>
      <x:c r="F94" s="25" t="str">
        <x:v>中</x:v>
      </x:c>
      <x:c r="G94" s="25" t="str">
        <x:v>K032</x:v>
      </x:c>
      <x:c r="H94" s="25" t="str">
        <x:v>还盘函结构、语言与礼仪</x:v>
      </x:c>
      <x:c r="I94" s="25" t="str">
        <x:v>商务函电</x:v>
      </x:c>
      <x:c r="J94" s="25" t="str">
        <x:v>“还盘函结构、语言与礼仪”可用于识别、预防或处理“还盘时机或措辞不当”。</x:v>
      </x:c>
      <x:c r="K94" s="26" t="str">
        <x:v>Corrects structure, tone, and reply-by date.</x:v>
      </x:c>
    </x:row>
    <x:row r="95">
      <x:c r="A95" s="24" t="n">
        <x:v>3</x:v>
      </x:c>
      <x:c r="B95" s="25" t="str">
        <x:v>S3</x:v>
      </x:c>
      <x:c r="C95" s="25" t="str">
        <x:v>还盘</x:v>
      </x:c>
      <x:c r="D95" s="25" t="str">
        <x:v>P3.07</x:v>
      </x:c>
      <x:c r="E95" s="25" t="str">
        <x:v>还盘时机或措辞不当</x:v>
      </x:c>
      <x:c r="F95" s="25" t="str">
        <x:v>中</x:v>
      </x:c>
      <x:c r="G95" s="25" t="str">
        <x:v>K038</x:v>
      </x:c>
      <x:c r="H95" s="25" t="str">
        <x:v>还盘后的磋商技巧</x:v>
      </x:c>
      <x:c r="I95" s="25" t="str">
        <x:v>策略</x:v>
      </x:c>
      <x:c r="J95" s="25" t="str">
        <x:v>运用“还盘后的磋商技巧”应对“还盘时机或措辞不当”，把原则转化为可执行的谈判行动。</x:v>
      </x:c>
      <x:c r="K95" s="26" t="str">
        <x:v>Once sent, bargains in packages rather than in angry fragments.</x:v>
      </x:c>
    </x:row>
    <x:row r="96">
      <x:c r="A96" s="24" t="n">
        <x:v>3</x:v>
      </x:c>
      <x:c r="B96" s="25" t="str">
        <x:v>S3</x:v>
      </x:c>
      <x:c r="C96" s="25" t="str">
        <x:v>还盘</x:v>
      </x:c>
      <x:c r="D96" s="25" t="str">
        <x:v>P3.07</x:v>
      </x:c>
      <x:c r="E96" s="25" t="str">
        <x:v>还盘时机或措辞不当</x:v>
      </x:c>
      <x:c r="F96" s="25" t="str">
        <x:v>中</x:v>
      </x:c>
      <x:c r="G96" s="25" t="str">
        <x:v>K015</x:v>
      </x:c>
      <x:c r="H96" s="25" t="str">
        <x:v>发盘有效期</x:v>
      </x:c>
      <x:c r="I96" s="25" t="str">
        <x:v>法律规则</x:v>
      </x:c>
      <x:c r="J96" s="25" t="str">
        <x:v>“发盘有效期”可用于识别、预防或处理“还盘时机或措辞不当”。</x:v>
      </x:c>
      <x:c r="K96" s="26" t="str">
        <x:v>Respects the original validity window so the counter is not late.</x:v>
      </x:c>
    </x:row>
    <x:row r="97">
      <x:c r="A97" s="24" t="n">
        <x:v>4</x:v>
      </x:c>
      <x:c r="B97" s="25" t="str">
        <x:v>S4</x:v>
      </x:c>
      <x:c r="C97" s="25" t="str">
        <x:v>接受与订货</x:v>
      </x:c>
      <x:c r="D97" s="25" t="str">
        <x:v>P4.01</x:v>
      </x:c>
      <x:c r="E97" s="25" t="str">
        <x:v>有效期后逾期接受</x:v>
      </x:c>
      <x:c r="F97" s="25" t="str">
        <x:v>高</x:v>
      </x:c>
      <x:c r="G97" s="25" t="str">
        <x:v>K042</x:v>
      </x:c>
      <x:c r="H97" s="25" t="str">
        <x:v>逾期接受</x:v>
      </x:c>
      <x:c r="I97" s="25" t="str">
        <x:v>法律规则</x:v>
      </x:c>
      <x:c r="J97" s="25" t="str">
        <x:v>“逾期接受”可用于识别、预防或处理“有效期后逾期接受”。</x:v>
      </x:c>
      <x:c r="K97" s="26" t="str">
        <x:v>States the legal options: treat as new offer, or promptly honour it.</x:v>
      </x:c>
    </x:row>
    <x:row r="98">
      <x:c r="A98" s="24" t="n">
        <x:v>4</x:v>
      </x:c>
      <x:c r="B98" s="25" t="str">
        <x:v>S4</x:v>
      </x:c>
      <x:c r="C98" s="25" t="str">
        <x:v>接受与订货</x:v>
      </x:c>
      <x:c r="D98" s="25" t="str">
        <x:v>P4.01</x:v>
      </x:c>
      <x:c r="E98" s="25" t="str">
        <x:v>有效期后逾期接受</x:v>
      </x:c>
      <x:c r="F98" s="25" t="str">
        <x:v>高</x:v>
      </x:c>
      <x:c r="G98" s="25" t="str">
        <x:v>K040</x:v>
      </x:c>
      <x:c r="H98" s="25" t="str">
        <x:v>有效接受的构成要件</x:v>
      </x:c>
      <x:c r="I98" s="25" t="str">
        <x:v>法律规则</x:v>
      </x:c>
      <x:c r="J98" s="25" t="str">
        <x:v>“有效接受的构成要件”可用于识别、预防或处理“有效期后逾期接受”。</x:v>
      </x:c>
      <x:c r="K98" s="26" t="str">
        <x:v>Recalls that timing is an element of validity.</x:v>
      </x:c>
    </x:row>
    <x:row r="99">
      <x:c r="A99" s="24" t="n">
        <x:v>4</x:v>
      </x:c>
      <x:c r="B99" s="25" t="str">
        <x:v>S4</x:v>
      </x:c>
      <x:c r="C99" s="25" t="str">
        <x:v>接受与订货</x:v>
      </x:c>
      <x:c r="D99" s="25" t="str">
        <x:v>P4.01</x:v>
      </x:c>
      <x:c r="E99" s="25" t="str">
        <x:v>有效期后逾期接受</x:v>
      </x:c>
      <x:c r="F99" s="25" t="str">
        <x:v>高</x:v>
      </x:c>
      <x:c r="G99" s="25" t="str">
        <x:v>K046</x:v>
      </x:c>
      <x:c r="H99" s="25" t="str">
        <x:v>接受通知的方式、效力与撤回</x:v>
      </x:c>
      <x:c r="I99" s="25" t="str">
        <x:v>法律规则</x:v>
      </x:c>
      <x:c r="J99" s="25" t="str">
        <x:v>“接受通知的方式、效力与撤回”可用于识别、预防或处理“有效期后逾期接受”。</x:v>
      </x:c>
      <x:c r="K99" s="26" t="str">
        <x:v>Checks whether a withdrawal or a transmission delay is in play.</x:v>
      </x:c>
    </x:row>
    <x:row r="100">
      <x:c r="A100" s="24" t="n">
        <x:v>4</x:v>
      </x:c>
      <x:c r="B100" s="25" t="str">
        <x:v>S4</x:v>
      </x:c>
      <x:c r="C100" s="25" t="str">
        <x:v>接受与订货</x:v>
      </x:c>
      <x:c r="D100" s="25" t="str">
        <x:v>P4.01</x:v>
      </x:c>
      <x:c r="E100" s="25" t="str">
        <x:v>有效期后逾期接受</x:v>
      </x:c>
      <x:c r="F100" s="25" t="str">
        <x:v>高</x:v>
      </x:c>
      <x:c r="G100" s="25" t="str">
        <x:v>K015</x:v>
      </x:c>
      <x:c r="H100" s="25" t="str">
        <x:v>发盘有效期</x:v>
      </x:c>
      <x:c r="I100" s="25" t="str">
        <x:v>法律规则</x:v>
      </x:c>
      <x:c r="J100" s="25" t="str">
        <x:v>“发盘有效期”可用于识别、预防或处理“有效期后逾期接受”。</x:v>
      </x:c>
      <x:c r="K100" s="26" t="str">
        <x:v>Uses the stated validity period as the clock.</x:v>
      </x:c>
    </x:row>
    <x:row r="101">
      <x:c r="A101" s="24" t="n">
        <x:v>4</x:v>
      </x:c>
      <x:c r="B101" s="25" t="str">
        <x:v>S4</x:v>
      </x:c>
      <x:c r="C101" s="25" t="str">
        <x:v>接受与订货</x:v>
      </x:c>
      <x:c r="D101" s="25" t="str">
        <x:v>P4.02</x:v>
      </x:c>
      <x:c r="E101" s="25" t="str">
        <x:v>附修改的接受</x:v>
      </x:c>
      <x:c r="F101" s="25" t="str">
        <x:v>高</x:v>
      </x:c>
      <x:c r="G101" s="25" t="str">
        <x:v>K041</x:v>
      </x:c>
      <x:c r="H101" s="25" t="str">
        <x:v>接受与还盘的区分</x:v>
      </x:c>
      <x:c r="I101" s="25" t="str">
        <x:v>法律规则</x:v>
      </x:c>
      <x:c r="J101" s="25" t="str">
        <x:v>“接受与还盘的区分”可用于识别、预防或处理“附修改的接受”。</x:v>
      </x:c>
      <x:c r="K101" s="26" t="str">
        <x:v>Reclassifies the 'yes, but' as a counter-offer.</x:v>
      </x:c>
    </x:row>
    <x:row r="102">
      <x:c r="A102" s="24" t="n">
        <x:v>4</x:v>
      </x:c>
      <x:c r="B102" s="25" t="str">
        <x:v>S4</x:v>
      </x:c>
      <x:c r="C102" s="25" t="str">
        <x:v>接受与订货</x:v>
      </x:c>
      <x:c r="D102" s="25" t="str">
        <x:v>P4.02</x:v>
      </x:c>
      <x:c r="E102" s="25" t="str">
        <x:v>附修改的接受</x:v>
      </x:c>
      <x:c r="F102" s="25" t="str">
        <x:v>高</x:v>
      </x:c>
      <x:c r="G102" s="25" t="str">
        <x:v>K040</x:v>
      </x:c>
      <x:c r="H102" s="25" t="str">
        <x:v>有效接受的构成要件</x:v>
      </x:c>
      <x:c r="I102" s="25" t="str">
        <x:v>法律规则</x:v>
      </x:c>
      <x:c r="J102" s="25" t="str">
        <x:v>“有效接受的构成要件”可用于识别、预防或处理“附修改的接受”。</x:v>
      </x:c>
      <x:c r="K102" s="26" t="str">
        <x:v>Shows which elements of acceptance are missing.</x:v>
      </x:c>
    </x:row>
    <x:row r="103">
      <x:c r="A103" s="24" t="n">
        <x:v>4</x:v>
      </x:c>
      <x:c r="B103" s="25" t="str">
        <x:v>S4</x:v>
      </x:c>
      <x:c r="C103" s="25" t="str">
        <x:v>接受与订货</x:v>
      </x:c>
      <x:c r="D103" s="25" t="str">
        <x:v>P4.02</x:v>
      </x:c>
      <x:c r="E103" s="25" t="str">
        <x:v>附修改的接受</x:v>
      </x:c>
      <x:c r="F103" s="25" t="str">
        <x:v>高</x:v>
      </x:c>
      <x:c r="G103" s="25" t="str">
        <x:v>K039</x:v>
      </x:c>
      <x:c r="H103" s="25" t="str">
        <x:v>接受的定义</x:v>
      </x:c>
      <x:c r="I103" s="25" t="str">
        <x:v>概念</x:v>
      </x:c>
      <x:c r="J103" s="25" t="str">
        <x:v>“接受的定义”可用于识别、预防或处理“附修改的接受”。</x:v>
      </x:c>
      <x:c r="K103" s="26" t="str">
        <x:v>Returns to the definition of unconditional assent.</x:v>
      </x:c>
    </x:row>
    <x:row r="104">
      <x:c r="A104" s="24" t="n">
        <x:v>4</x:v>
      </x:c>
      <x:c r="B104" s="25" t="str">
        <x:v>S4</x:v>
      </x:c>
      <x:c r="C104" s="25" t="str">
        <x:v>接受与订货</x:v>
      </x:c>
      <x:c r="D104" s="25" t="str">
        <x:v>P4.02</x:v>
      </x:c>
      <x:c r="E104" s="25" t="str">
        <x:v>附修改的接受</x:v>
      </x:c>
      <x:c r="F104" s="25" t="str">
        <x:v>高</x:v>
      </x:c>
      <x:c r="G104" s="25" t="str">
        <x:v>K026</x:v>
      </x:c>
      <x:c r="H104" s="25" t="str">
        <x:v>还盘的法律性质与解释</x:v>
      </x:c>
      <x:c r="I104" s="25" t="str">
        <x:v>法律规则</x:v>
      </x:c>
      <x:c r="J104" s="25" t="str">
        <x:v>“还盘的法律性质与解释”可用于识别、预防或处理“附修改的接受”。</x:v>
      </x:c>
      <x:c r="K104" s="26" t="str">
        <x:v>Explains the knock-on: the original offer is now dead.</x:v>
      </x:c>
    </x:row>
    <x:row r="105">
      <x:c r="A105" s="24" t="n">
        <x:v>4</x:v>
      </x:c>
      <x:c r="B105" s="25" t="str">
        <x:v>S4</x:v>
      </x:c>
      <x:c r="C105" s="25" t="str">
        <x:v>接受与订货</x:v>
      </x:c>
      <x:c r="D105" s="25" t="str">
        <x:v>P4.02</x:v>
      </x:c>
      <x:c r="E105" s="25" t="str">
        <x:v>附修改的接受</x:v>
      </x:c>
      <x:c r="F105" s="25" t="str">
        <x:v>高</x:v>
      </x:c>
      <x:c r="G105" s="25" t="str">
        <x:v>K043</x:v>
      </x:c>
      <x:c r="H105" s="25" t="str">
        <x:v>订货流程与确认</x:v>
      </x:c>
      <x:c r="I105" s="25" t="str">
        <x:v>业务流程</x:v>
      </x:c>
      <x:c r="J105" s="25" t="str">
        <x:v>“订货流程与确认”可用于识别、预防或处理“附修改的接受”。</x:v>
      </x:c>
      <x:c r="K105" s="26" t="str">
        <x:v>Stops the team from issuing an order confirmation on unmatched terms.</x:v>
      </x:c>
    </x:row>
    <x:row r="106">
      <x:c r="A106" s="24" t="n">
        <x:v>4</x:v>
      </x:c>
      <x:c r="B106" s="25" t="str">
        <x:v>S4</x:v>
      </x:c>
      <x:c r="C106" s="25" t="str">
        <x:v>接受与订货</x:v>
      </x:c>
      <x:c r="D106" s="25" t="str">
        <x:v>P4.03</x:v>
      </x:c>
      <x:c r="E106" s="25" t="str">
        <x:v>合同是否成立发生争议</x:v>
      </x:c>
      <x:c r="F106" s="25" t="str">
        <x:v>高</x:v>
      </x:c>
      <x:c r="G106" s="25" t="str">
        <x:v>K047</x:v>
      </x:c>
      <x:c r="H106" s="25" t="str">
        <x:v>买卖合同的成立与条款</x:v>
      </x:c>
      <x:c r="I106" s="25" t="str">
        <x:v>法律规则</x:v>
      </x:c>
      <x:c r="J106" s="25" t="str">
        <x:v>“买卖合同的成立与条款”可用于识别、预防或处理“合同是否成立发生争议”。</x:v>
      </x:c>
      <x:c r="K106" s="26" t="str">
        <x:v>Sets out when a purchase contract exists and what it contains.</x:v>
      </x:c>
    </x:row>
    <x:row r="107">
      <x:c r="A107" s="24" t="n">
        <x:v>4</x:v>
      </x:c>
      <x:c r="B107" s="25" t="str">
        <x:v>S4</x:v>
      </x:c>
      <x:c r="C107" s="25" t="str">
        <x:v>接受与订货</x:v>
      </x:c>
      <x:c r="D107" s="25" t="str">
        <x:v>P4.03</x:v>
      </x:c>
      <x:c r="E107" s="25" t="str">
        <x:v>合同是否成立发生争议</x:v>
      </x:c>
      <x:c r="F107" s="25" t="str">
        <x:v>高</x:v>
      </x:c>
      <x:c r="G107" s="25" t="str">
        <x:v>K040</x:v>
      </x:c>
      <x:c r="H107" s="25" t="str">
        <x:v>有效接受的构成要件</x:v>
      </x:c>
      <x:c r="I107" s="25" t="str">
        <x:v>法律规则</x:v>
      </x:c>
      <x:c r="J107" s="25" t="str">
        <x:v>“有效接受的构成要件”可用于识别、预防或处理“合同是否成立发生争议”。</x:v>
      </x:c>
      <x:c r="K107" s="26" t="str">
        <x:v>Applies the elements test to the contested communication.</x:v>
      </x:c>
    </x:row>
    <x:row r="108">
      <x:c r="A108" s="24" t="n">
        <x:v>4</x:v>
      </x:c>
      <x:c r="B108" s="25" t="str">
        <x:v>S4</x:v>
      </x:c>
      <x:c r="C108" s="25" t="str">
        <x:v>接受与订货</x:v>
      </x:c>
      <x:c r="D108" s="25" t="str">
        <x:v>P4.03</x:v>
      </x:c>
      <x:c r="E108" s="25" t="str">
        <x:v>合同是否成立发生争议</x:v>
      </x:c>
      <x:c r="F108" s="25" t="str">
        <x:v>高</x:v>
      </x:c>
      <x:c r="G108" s="25" t="str">
        <x:v>K046</x:v>
      </x:c>
      <x:c r="H108" s="25" t="str">
        <x:v>接受通知的方式、效力与撤回</x:v>
      </x:c>
      <x:c r="I108" s="25" t="str">
        <x:v>法律规则</x:v>
      </x:c>
      <x:c r="J108" s="25" t="str">
        <x:v>“接受通知的方式、效力与撤回”可用于识别、预防或处理“合同是否成立发生争议”。</x:v>
      </x:c>
      <x:c r="K108" s="26" t="str">
        <x:v>Fixes the moment and medium of effective notice.</x:v>
      </x:c>
    </x:row>
    <x:row r="109">
      <x:c r="A109" s="24" t="n">
        <x:v>4</x:v>
      </x:c>
      <x:c r="B109" s="25" t="str">
        <x:v>S4</x:v>
      </x:c>
      <x:c r="C109" s="25" t="str">
        <x:v>接受与订货</x:v>
      </x:c>
      <x:c r="D109" s="25" t="str">
        <x:v>P4.03</x:v>
      </x:c>
      <x:c r="E109" s="25" t="str">
        <x:v>合同是否成立发生争议</x:v>
      </x:c>
      <x:c r="F109" s="25" t="str">
        <x:v>高</x:v>
      </x:c>
      <x:c r="G109" s="25" t="str">
        <x:v>K039</x:v>
      </x:c>
      <x:c r="H109" s="25" t="str">
        <x:v>接受的定义</x:v>
      </x:c>
      <x:c r="I109" s="25" t="str">
        <x:v>概念</x:v>
      </x:c>
      <x:c r="J109" s="25" t="str">
        <x:v>“接受的定义”可用于识别、预防或处理“合同是否成立发生争议”。</x:v>
      </x:c>
      <x:c r="K109" s="26" t="str">
        <x:v>Separates commercial enthusiasm from legal assent.</x:v>
      </x:c>
    </x:row>
    <x:row r="110">
      <x:c r="A110" s="24" t="n">
        <x:v>4</x:v>
      </x:c>
      <x:c r="B110" s="25" t="str">
        <x:v>S4</x:v>
      </x:c>
      <x:c r="C110" s="25" t="str">
        <x:v>接受与订货</x:v>
      </x:c>
      <x:c r="D110" s="25" t="str">
        <x:v>P4.03</x:v>
      </x:c>
      <x:c r="E110" s="25" t="str">
        <x:v>合同是否成立发生争议</x:v>
      </x:c>
      <x:c r="F110" s="25" t="str">
        <x:v>高</x:v>
      </x:c>
      <x:c r="G110" s="25" t="str">
        <x:v>K034</x:v>
      </x:c>
      <x:c r="H110" s="25" t="str">
        <x:v>还盘、沉默与默示接受</x:v>
      </x:c>
      <x:c r="I110" s="25" t="str">
        <x:v>法律规则</x:v>
      </x:c>
      <x:c r="J110" s="25" t="str">
        <x:v>“还盘、沉默与默示接受”可用于识别、预防或处理“合同是否成立发生争议”。</x:v>
      </x:c>
      <x:c r="K110" s="26" t="str">
        <x:v>Rules out silence-as-formation except in the narrow cases.</x:v>
      </x:c>
    </x:row>
    <x:row r="111">
      <x:c r="A111" s="24" t="n">
        <x:v>4</x:v>
      </x:c>
      <x:c r="B111" s="25" t="str">
        <x:v>S4</x:v>
      </x:c>
      <x:c r="C111" s="25" t="str">
        <x:v>接受与订货</x:v>
      </x:c>
      <x:c r="D111" s="25" t="str">
        <x:v>P4.04</x:v>
      </x:c>
      <x:c r="E111" s="25" t="str">
        <x:v>合同成立后取消</x:v>
      </x:c>
      <x:c r="F111" s="25" t="str">
        <x:v>高</x:v>
      </x:c>
      <x:c r="G111" s="25" t="str">
        <x:v>K044</x:v>
      </x:c>
      <x:c r="H111" s="25" t="str">
        <x:v>订单变更、修改与取消</x:v>
      </x:c>
      <x:c r="I111" s="25" t="str">
        <x:v>业务流程</x:v>
      </x:c>
      <x:c r="J111" s="25" t="str">
        <x:v>“订单变更、修改与取消”可用于识别、预防或处理“合同成立后取消”。</x:v>
      </x:c>
      <x:c r="K111" s="26" t="str">
        <x:v>States that post-formation cancellation is a breach unless agreed.</x:v>
      </x:c>
    </x:row>
    <x:row r="112">
      <x:c r="A112" s="24" t="n">
        <x:v>4</x:v>
      </x:c>
      <x:c r="B112" s="25" t="str">
        <x:v>S4</x:v>
      </x:c>
      <x:c r="C112" s="25" t="str">
        <x:v>接受与订货</x:v>
      </x:c>
      <x:c r="D112" s="25" t="str">
        <x:v>P4.04</x:v>
      </x:c>
      <x:c r="E112" s="25" t="str">
        <x:v>合同成立后取消</x:v>
      </x:c>
      <x:c r="F112" s="25" t="str">
        <x:v>高</x:v>
      </x:c>
      <x:c r="G112" s="25" t="str">
        <x:v>K047</x:v>
      </x:c>
      <x:c r="H112" s="25" t="str">
        <x:v>买卖合同的成立与条款</x:v>
      </x:c>
      <x:c r="I112" s="25" t="str">
        <x:v>法律规则</x:v>
      </x:c>
      <x:c r="J112" s="25" t="str">
        <x:v>“买卖合同的成立与条款”可用于识别、预防或处理“合同成立后取消”。</x:v>
      </x:c>
      <x:c r="K112" s="26" t="str">
        <x:v>Proves that a contract already exists.</x:v>
      </x:c>
    </x:row>
    <x:row r="113">
      <x:c r="A113" s="24" t="n">
        <x:v>4</x:v>
      </x:c>
      <x:c r="B113" s="25" t="str">
        <x:v>S4</x:v>
      </x:c>
      <x:c r="C113" s="25" t="str">
        <x:v>接受与订货</x:v>
      </x:c>
      <x:c r="D113" s="25" t="str">
        <x:v>P4.04</x:v>
      </x:c>
      <x:c r="E113" s="25" t="str">
        <x:v>合同成立后取消</x:v>
      </x:c>
      <x:c r="F113" s="25" t="str">
        <x:v>高</x:v>
      </x:c>
      <x:c r="G113" s="25" t="str">
        <x:v>K050</x:v>
      </x:c>
      <x:c r="H113" s="25" t="str">
        <x:v>合同免责条款</x:v>
      </x:c>
      <x:c r="I113" s="25" t="str">
        <x:v>法律规则</x:v>
      </x:c>
      <x:c r="J113" s="25" t="str">
        <x:v>“合同免责条款”可用于识别、预防或处理“合同成立后取消”。</x:v>
      </x:c>
      <x:c r="K113" s="26" t="str">
        <x:v>Checks whether an exemption or cancellation window was written in.</x:v>
      </x:c>
    </x:row>
    <x:row r="114">
      <x:c r="A114" s="24" t="n">
        <x:v>4</x:v>
      </x:c>
      <x:c r="B114" s="25" t="str">
        <x:v>S4</x:v>
      </x:c>
      <x:c r="C114" s="25" t="str">
        <x:v>接受与订货</x:v>
      </x:c>
      <x:c r="D114" s="25" t="str">
        <x:v>P4.04</x:v>
      </x:c>
      <x:c r="E114" s="25" t="str">
        <x:v>合同成立后取消</x:v>
      </x:c>
      <x:c r="F114" s="25" t="str">
        <x:v>高</x:v>
      </x:c>
      <x:c r="G114" s="25" t="str">
        <x:v>K074</x:v>
      </x:c>
      <x:c r="H114" s="25" t="str">
        <x:v>交付迟延与合同违约</x:v>
      </x:c>
      <x:c r="I114" s="25" t="str">
        <x:v>法律规则</x:v>
      </x:c>
      <x:c r="J114" s="25" t="str">
        <x:v>“交付迟延与合同违约”可用于识别、预防或处理“合同成立后取消”。</x:v>
      </x:c>
      <x:c r="K114" s="26" t="str">
        <x:v>Quantifies the breach path if the other side walks.</x:v>
      </x:c>
    </x:row>
    <x:row r="115">
      <x:c r="A115" s="24" t="n">
        <x:v>4</x:v>
      </x:c>
      <x:c r="B115" s="25" t="str">
        <x:v>S4</x:v>
      </x:c>
      <x:c r="C115" s="25" t="str">
        <x:v>接受与订货</x:v>
      </x:c>
      <x:c r="D115" s="25" t="str">
        <x:v>P4.05</x:v>
      </x:c>
      <x:c r="E115" s="25" t="str">
        <x:v>履约中途变更订单</x:v>
      </x:c>
      <x:c r="F115" s="25" t="str">
        <x:v>中</x:v>
      </x:c>
      <x:c r="G115" s="25" t="str">
        <x:v>K044</x:v>
      </x:c>
      <x:c r="H115" s="25" t="str">
        <x:v>订单变更、修改与取消</x:v>
      </x:c>
      <x:c r="I115" s="25" t="str">
        <x:v>业务流程</x:v>
      </x:c>
      <x:c r="J115" s="25" t="str">
        <x:v>“订单变更、修改与取消”可用于识别、预防或处理“履约中途变更订单”。</x:v>
      </x:c>
      <x:c r="K115" s="26" t="str">
        <x:v>Requires a written modification, not a chat-message change.</x:v>
      </x:c>
    </x:row>
    <x:row r="116">
      <x:c r="A116" s="24" t="n">
        <x:v>4</x:v>
      </x:c>
      <x:c r="B116" s="25" t="str">
        <x:v>S4</x:v>
      </x:c>
      <x:c r="C116" s="25" t="str">
        <x:v>接受与订货</x:v>
      </x:c>
      <x:c r="D116" s="25" t="str">
        <x:v>P4.05</x:v>
      </x:c>
      <x:c r="E116" s="25" t="str">
        <x:v>履约中途变更订单</x:v>
      </x:c>
      <x:c r="F116" s="25" t="str">
        <x:v>中</x:v>
      </x:c>
      <x:c r="G116" s="25" t="str">
        <x:v>K048</x:v>
      </x:c>
      <x:c r="H116" s="25" t="str">
        <x:v>订单执行与履约监控</x:v>
      </x:c>
      <x:c r="I116" s="25" t="str">
        <x:v>业务流程</x:v>
      </x:c>
      <x:c r="J116" s="25" t="str">
        <x:v>“订单执行与履约监控”可用于识别、预防或处理“履约中途变更订单”。</x:v>
      </x:c>
      <x:c r="K116" s="26" t="str">
        <x:v>Shows where in the performance file the change hits cost and time.</x:v>
      </x:c>
    </x:row>
    <x:row r="117">
      <x:c r="A117" s="24" t="n">
        <x:v>4</x:v>
      </x:c>
      <x:c r="B117" s="25" t="str">
        <x:v>S4</x:v>
      </x:c>
      <x:c r="C117" s="25" t="str">
        <x:v>接受与订货</x:v>
      </x:c>
      <x:c r="D117" s="25" t="str">
        <x:v>P4.05</x:v>
      </x:c>
      <x:c r="E117" s="25" t="str">
        <x:v>履约中途变更订单</x:v>
      </x:c>
      <x:c r="F117" s="25" t="str">
        <x:v>中</x:v>
      </x:c>
      <x:c r="G117" s="25" t="str">
        <x:v>K047</x:v>
      </x:c>
      <x:c r="H117" s="25" t="str">
        <x:v>买卖合同的成立与条款</x:v>
      </x:c>
      <x:c r="I117" s="25" t="str">
        <x:v>法律规则</x:v>
      </x:c>
      <x:c r="J117" s="25" t="str">
        <x:v>“买卖合同的成立与条款”可用于识别、预防或处理“履约中途变更订单”。</x:v>
      </x:c>
      <x:c r="K117" s="26" t="str">
        <x:v>Keeps the original terms in force until the modification is agreed.</x:v>
      </x:c>
    </x:row>
    <x:row r="118">
      <x:c r="A118" s="24" t="n">
        <x:v>4</x:v>
      </x:c>
      <x:c r="B118" s="25" t="str">
        <x:v>S4</x:v>
      </x:c>
      <x:c r="C118" s="25" t="str">
        <x:v>接受与订货</x:v>
      </x:c>
      <x:c r="D118" s="25" t="str">
        <x:v>P4.05</x:v>
      </x:c>
      <x:c r="E118" s="25" t="str">
        <x:v>履约中途变更订单</x:v>
      </x:c>
      <x:c r="F118" s="25" t="str">
        <x:v>中</x:v>
      </x:c>
      <x:c r="G118" s="25" t="str">
        <x:v>K049</x:v>
      </x:c>
      <x:c r="H118" s="25" t="str">
        <x:v>订单交付日期跟踪</x:v>
      </x:c>
      <x:c r="I118" s="25" t="str">
        <x:v>业务流程</x:v>
      </x:c>
      <x:c r="J118" s="25" t="str">
        <x:v>“订单交付日期跟踪”可用于识别、预防或处理“履约中途变更订单”。</x:v>
      </x:c>
      <x:c r="K118" s="26" t="str">
        <x:v>Rebuilds the delivery schedule around the new scope.</x:v>
      </x:c>
    </x:row>
    <x:row r="119">
      <x:c r="A119" s="24" t="n">
        <x:v>4</x:v>
      </x:c>
      <x:c r="B119" s="25" t="str">
        <x:v>S4</x:v>
      </x:c>
      <x:c r="C119" s="25" t="str">
        <x:v>接受与订货</x:v>
      </x:c>
      <x:c r="D119" s="25" t="str">
        <x:v>P4.06</x:v>
      </x:c>
      <x:c r="E119" s="25" t="str">
        <x:v>跨文化语境中的非承诺性“同意”</x:v>
      </x:c>
      <x:c r="F119" s="25" t="str">
        <x:v>高</x:v>
      </x:c>
      <x:c r="G119" s="25" t="str">
        <x:v>K045</x:v>
      </x:c>
      <x:c r="H119" s="25" t="str">
        <x:v>接受与订货的跨文化差异</x:v>
      </x:c>
      <x:c r="I119" s="25" t="str">
        <x:v>跨文化</x:v>
      </x:c>
      <x:c r="J119" s="25" t="str">
        <x:v>“接受与订货的跨文化差异”可用于识别、预防或处理“跨文化语境中的非承诺性“同意””。</x:v>
      </x:c>
      <x:c r="K119" s="26" t="str">
        <x:v>Teaches that relational yes is not contractual yes.</x:v>
      </x:c>
    </x:row>
    <x:row r="120">
      <x:c r="A120" s="24" t="n">
        <x:v>4</x:v>
      </x:c>
      <x:c r="B120" s="25" t="str">
        <x:v>S4</x:v>
      </x:c>
      <x:c r="C120" s="25" t="str">
        <x:v>接受与订货</x:v>
      </x:c>
      <x:c r="D120" s="25" t="str">
        <x:v>P4.06</x:v>
      </x:c>
      <x:c r="E120" s="25" t="str">
        <x:v>跨文化语境中的非承诺性“同意”</x:v>
      </x:c>
      <x:c r="F120" s="25" t="str">
        <x:v>高</x:v>
      </x:c>
      <x:c r="G120" s="25" t="str">
        <x:v>K040</x:v>
      </x:c>
      <x:c r="H120" s="25" t="str">
        <x:v>有效接受的构成要件</x:v>
      </x:c>
      <x:c r="I120" s="25" t="str">
        <x:v>法律规则</x:v>
      </x:c>
      <x:c r="J120" s="25" t="str">
        <x:v>“有效接受的构成要件”可用于识别、预防或处理“跨文化语境中的非承诺性“同意””。</x:v>
      </x:c>
      <x:c r="K120" s="26" t="str">
        <x:v>Insists on the legal elements, not on hospitality.</x:v>
      </x:c>
    </x:row>
    <x:row r="121">
      <x:c r="A121" s="24" t="n">
        <x:v>4</x:v>
      </x:c>
      <x:c r="B121" s="25" t="str">
        <x:v>S4</x:v>
      </x:c>
      <x:c r="C121" s="25" t="str">
        <x:v>接受与订货</x:v>
      </x:c>
      <x:c r="D121" s="25" t="str">
        <x:v>P4.06</x:v>
      </x:c>
      <x:c r="E121" s="25" t="str">
        <x:v>跨文化语境中的非承诺性“同意”</x:v>
      </x:c>
      <x:c r="F121" s="25" t="str">
        <x:v>高</x:v>
      </x:c>
      <x:c r="G121" s="25" t="str">
        <x:v>K041</x:v>
      </x:c>
      <x:c r="H121" s="25" t="str">
        <x:v>接受与还盘的区分</x:v>
      </x:c>
      <x:c r="I121" s="25" t="str">
        <x:v>法律规则</x:v>
      </x:c>
      <x:c r="J121" s="25" t="str">
        <x:v>“接受与还盘的区分”可用于识别、预防或处理“跨文化语境中的非承诺性“同意””。</x:v>
      </x:c>
      <x:c r="K121" s="26" t="str">
        <x:v>Watches for a polite 'yes, with changes' that is a counter-offer.</x:v>
      </x:c>
    </x:row>
    <x:row r="122">
      <x:c r="A122" s="24" t="n">
        <x:v>4</x:v>
      </x:c>
      <x:c r="B122" s="25" t="str">
        <x:v>S4</x:v>
      </x:c>
      <x:c r="C122" s="25" t="str">
        <x:v>接受与订货</x:v>
      </x:c>
      <x:c r="D122" s="25" t="str">
        <x:v>P4.06</x:v>
      </x:c>
      <x:c r="E122" s="25" t="str">
        <x:v>跨文化语境中的非承诺性“同意”</x:v>
      </x:c>
      <x:c r="F122" s="25" t="str">
        <x:v>高</x:v>
      </x:c>
      <x:c r="G122" s="25" t="str">
        <x:v>K043</x:v>
      </x:c>
      <x:c r="H122" s="25" t="str">
        <x:v>订货流程与确认</x:v>
      </x:c>
      <x:c r="I122" s="25" t="str">
        <x:v>业务流程</x:v>
      </x:c>
      <x:c r="J122" s="25" t="str">
        <x:v>“订货流程与确认”可用于识别、预防或处理“跨文化语境中的非承诺性“同意””。</x:v>
      </x:c>
      <x:c r="K122" s="26" t="str">
        <x:v>Uses a signed confirmation as the cultural-neutral record.</x:v>
      </x:c>
    </x:row>
    <x:row r="123">
      <x:c r="A123" s="24" t="n">
        <x:v>4</x:v>
      </x:c>
      <x:c r="B123" s="25" t="str">
        <x:v>S4</x:v>
      </x:c>
      <x:c r="C123" s="25" t="str">
        <x:v>接受与订货</x:v>
      </x:c>
      <x:c r="D123" s="25" t="str">
        <x:v>P4.07</x:v>
      </x:c>
      <x:c r="E123" s="25" t="str">
        <x:v>订货后交期持续漂移</x:v>
      </x:c>
      <x:c r="F123" s="25" t="str">
        <x:v>中</x:v>
      </x:c>
      <x:c r="G123" s="25" t="str">
        <x:v>K049</x:v>
      </x:c>
      <x:c r="H123" s="25" t="str">
        <x:v>订单交付日期跟踪</x:v>
      </x:c>
      <x:c r="I123" s="25" t="str">
        <x:v>业务流程</x:v>
      </x:c>
      <x:c r="J123" s="25" t="str">
        <x:v>“订单交付日期跟踪”可用于识别、预防或处理“订货后交期持续漂移”。</x:v>
      </x:c>
      <x:c r="K123" s="26" t="str">
        <x:v>Installs backward scheduling and early-warning on the ship window.</x:v>
      </x:c>
    </x:row>
    <x:row r="124">
      <x:c r="A124" s="24" t="n">
        <x:v>4</x:v>
      </x:c>
      <x:c r="B124" s="25" t="str">
        <x:v>S4</x:v>
      </x:c>
      <x:c r="C124" s="25" t="str">
        <x:v>接受与订货</x:v>
      </x:c>
      <x:c r="D124" s="25" t="str">
        <x:v>P4.07</x:v>
      </x:c>
      <x:c r="E124" s="25" t="str">
        <x:v>订货后交期持续漂移</x:v>
      </x:c>
      <x:c r="F124" s="25" t="str">
        <x:v>中</x:v>
      </x:c>
      <x:c r="G124" s="25" t="str">
        <x:v>K048</x:v>
      </x:c>
      <x:c r="H124" s="25" t="str">
        <x:v>订单执行与履约监控</x:v>
      </x:c>
      <x:c r="I124" s="25" t="str">
        <x:v>业务流程</x:v>
      </x:c>
      <x:c r="J124" s="25" t="str">
        <x:v>“订单执行与履约监控”可用于识别、预防或处理“订货后交期持续漂移”。</x:v>
      </x:c>
      <x:c r="K124" s="26" t="str">
        <x:v>Puts a named owner on each milestone.</x:v>
      </x:c>
    </x:row>
    <x:row r="125">
      <x:c r="A125" s="24" t="n">
        <x:v>4</x:v>
      </x:c>
      <x:c r="B125" s="25" t="str">
        <x:v>S4</x:v>
      </x:c>
      <x:c r="C125" s="25" t="str">
        <x:v>接受与订货</x:v>
      </x:c>
      <x:c r="D125" s="25" t="str">
        <x:v>P4.07</x:v>
      </x:c>
      <x:c r="E125" s="25" t="str">
        <x:v>订货后交期持续漂移</x:v>
      </x:c>
      <x:c r="F125" s="25" t="str">
        <x:v>中</x:v>
      </x:c>
      <x:c r="G125" s="25" t="str">
        <x:v>K051</x:v>
      </x:c>
      <x:c r="H125" s="25" t="str">
        <x:v>质量保证与售后服务</x:v>
      </x:c>
      <x:c r="I125" s="25" t="str">
        <x:v>业务流程</x:v>
      </x:c>
      <x:c r="J125" s="25" t="str">
        <x:v>“质量保证与售后服务”可用于识别、预防或处理“订货后交期持续漂移”。</x:v>
      </x:c>
      <x:c r="K125" s="26" t="str">
        <x:v>Links drift to QA and after-sales promises already sold.</x:v>
      </x:c>
    </x:row>
    <x:row r="126">
      <x:c r="A126" s="24" t="n">
        <x:v>4</x:v>
      </x:c>
      <x:c r="B126" s="25" t="str">
        <x:v>S4</x:v>
      </x:c>
      <x:c r="C126" s="25" t="str">
        <x:v>接受与订货</x:v>
      </x:c>
      <x:c r="D126" s="25" t="str">
        <x:v>P4.07</x:v>
      </x:c>
      <x:c r="E126" s="25" t="str">
        <x:v>订货后交期持续漂移</x:v>
      </x:c>
      <x:c r="F126" s="25" t="str">
        <x:v>中</x:v>
      </x:c>
      <x:c r="G126" s="25" t="str">
        <x:v>K074</x:v>
      </x:c>
      <x:c r="H126" s="25" t="str">
        <x:v>交付迟延与合同违约</x:v>
      </x:c>
      <x:c r="I126" s="25" t="str">
        <x:v>法律规则</x:v>
      </x:c>
      <x:c r="J126" s="25" t="str">
        <x:v>“交付迟延与合同违约”可用于识别、预防或处理“订货后交期持续漂移”。</x:v>
      </x:c>
      <x:c r="K126" s="26" t="str">
        <x:v>Shows when drift has already become a breach.</x:v>
      </x:c>
    </x:row>
    <x:row r="127">
      <x:c r="A127" s="24" t="n">
        <x:v>4</x:v>
      </x:c>
      <x:c r="B127" s="25" t="str">
        <x:v>S4</x:v>
      </x:c>
      <x:c r="C127" s="25" t="str">
        <x:v>接受与订货</x:v>
      </x:c>
      <x:c r="D127" s="25" t="str">
        <x:v>P4.07</x:v>
      </x:c>
      <x:c r="E127" s="25" t="str">
        <x:v>订货后交期持续漂移</x:v>
      </x:c>
      <x:c r="F127" s="25" t="str">
        <x:v>中</x:v>
      </x:c>
      <x:c r="G127" s="25" t="str">
        <x:v>K063</x:v>
      </x:c>
      <x:c r="H127" s="25" t="str">
        <x:v>装运时间管理</x:v>
      </x:c>
      <x:c r="I127" s="25" t="str">
        <x:v>业务流程</x:v>
      </x:c>
      <x:c r="J127" s="25" t="str">
        <x:v>“装运时间管理”可用于识别、预防或处理“订货后交期持续漂移”。</x:v>
      </x:c>
      <x:c r="K127" s="26" t="str">
        <x:v>Connects the order date to factory and CY cut-offs.</x:v>
      </x:c>
    </x:row>
    <x:row r="128">
      <x:c r="A128" s="24" t="n">
        <x:v>5</x:v>
      </x:c>
      <x:c r="B128" s="25" t="str">
        <x:v>S5</x:v>
      </x:c>
      <x:c r="C128" s="25" t="str">
        <x:v>包装与装运</x:v>
      </x:c>
      <x:c r="D128" s="25" t="str">
        <x:v>P5.01</x:v>
      </x:c>
      <x:c r="E128" s="25" t="str">
        <x:v>包装未通过防潮防盗或运输测试</x:v>
      </x:c>
      <x:c r="F128" s="25" t="str">
        <x:v>高</x:v>
      </x:c>
      <x:c r="G128" s="25" t="str">
        <x:v>K052</x:v>
      </x:c>
      <x:c r="H128" s="25" t="str">
        <x:v>出口包装要求</x:v>
      </x:c>
      <x:c r="I128" s="25" t="str">
        <x:v>概念</x:v>
      </x:c>
      <x:c r="J128" s="25" t="str">
        <x:v>“出口包装要求”可用于识别、预防或处理“包装未通过防潮防盗或运输测试”。</x:v>
      </x:c>
      <x:c r="K128" s="26" t="str">
        <x:v>Sets the export-packing standard the retail pack does not meet.</x:v>
      </x:c>
    </x:row>
    <x:row r="129">
      <x:c r="A129" s="24" t="n">
        <x:v>5</x:v>
      </x:c>
      <x:c r="B129" s="25" t="str">
        <x:v>S5</x:v>
      </x:c>
      <x:c r="C129" s="25" t="str">
        <x:v>包装与装运</x:v>
      </x:c>
      <x:c r="D129" s="25" t="str">
        <x:v>P5.01</x:v>
      </x:c>
      <x:c r="E129" s="25" t="str">
        <x:v>包装未通过防潮防盗或运输测试</x:v>
      </x:c>
      <x:c r="F129" s="25" t="str">
        <x:v>高</x:v>
      </x:c>
      <x:c r="G129" s="25" t="str">
        <x:v>K053</x:v>
      </x:c>
      <x:c r="H129" s="25" t="str">
        <x:v>包装材料、防潮与防盗</x:v>
      </x:c>
      <x:c r="I129" s="25" t="str">
        <x:v>业务流程</x:v>
      </x:c>
      <x:c r="J129" s="25" t="str">
        <x:v>“包装材料、防潮与防盗”可用于识别、预防或处理“包装未通过防潮防盗或运输测试”。</x:v>
      </x:c>
      <x:c r="K129" s="26" t="str">
        <x:v>Specifies moisture and theft protection.</x:v>
      </x:c>
    </x:row>
    <x:row r="130">
      <x:c r="A130" s="24" t="n">
        <x:v>5</x:v>
      </x:c>
      <x:c r="B130" s="25" t="str">
        <x:v>S5</x:v>
      </x:c>
      <x:c r="C130" s="25" t="str">
        <x:v>包装与装运</x:v>
      </x:c>
      <x:c r="D130" s="25" t="str">
        <x:v>P5.01</x:v>
      </x:c>
      <x:c r="E130" s="25" t="str">
        <x:v>包装未通过防潮防盗或运输测试</x:v>
      </x:c>
      <x:c r="F130" s="25" t="str">
        <x:v>高</x:v>
      </x:c>
      <x:c r="G130" s="25" t="str">
        <x:v>K055</x:v>
      </x:c>
      <x:c r="H130" s="25" t="str">
        <x:v>空运与海运包装差异</x:v>
      </x:c>
      <x:c r="I130" s="25" t="str">
        <x:v>业务流程</x:v>
      </x:c>
      <x:c r="J130" s="25" t="str">
        <x:v>“空运与海运包装差异”可用于识别、预防或处理“包装未通过防潮防盗或运输测试”。</x:v>
      </x:c>
      <x:c r="K130" s="26" t="str">
        <x:v>Matches the pack to air vs sea realities.</x:v>
      </x:c>
    </x:row>
    <x:row r="131">
      <x:c r="A131" s="24" t="n">
        <x:v>5</x:v>
      </x:c>
      <x:c r="B131" s="25" t="str">
        <x:v>S5</x:v>
      </x:c>
      <x:c r="C131" s="25" t="str">
        <x:v>包装与装运</x:v>
      </x:c>
      <x:c r="D131" s="25" t="str">
        <x:v>P5.01</x:v>
      </x:c>
      <x:c r="E131" s="25" t="str">
        <x:v>包装未通过防潮防盗或运输测试</x:v>
      </x:c>
      <x:c r="F131" s="25" t="str">
        <x:v>高</x:v>
      </x:c>
      <x:c r="G131" s="25" t="str">
        <x:v>K064</x:v>
      </x:c>
      <x:c r="H131" s="25" t="str">
        <x:v>装运风险管理</x:v>
      </x:c>
      <x:c r="I131" s="25" t="str">
        <x:v>风险控制</x:v>
      </x:c>
      <x:c r="J131" s="25" t="str">
        <x:v>“装运风险管理”可用于识别、预防或处理“包装未通过防潮防盗或运输测试”。</x:v>
      </x:c>
      <x:c r="K131" s="26" t="str">
        <x:v>Treats packing failure as a preventable transit risk.</x:v>
      </x:c>
    </x:row>
    <x:row r="132">
      <x:c r="A132" s="24" t="n">
        <x:v>5</x:v>
      </x:c>
      <x:c r="B132" s="25" t="str">
        <x:v>S5</x:v>
      </x:c>
      <x:c r="C132" s="25" t="str">
        <x:v>包装与装运</x:v>
      </x:c>
      <x:c r="D132" s="25" t="str">
        <x:v>P5.01</x:v>
      </x:c>
      <x:c r="E132" s="25" t="str">
        <x:v>包装未通过防潮防盗或运输测试</x:v>
      </x:c>
      <x:c r="F132" s="25" t="str">
        <x:v>高</x:v>
      </x:c>
      <x:c r="G132" s="25" t="str">
        <x:v>K061</x:v>
      </x:c>
      <x:c r="H132" s="25" t="str">
        <x:v>包装成本控制</x:v>
      </x:c>
      <x:c r="I132" s="25" t="str">
        <x:v>策略</x:v>
      </x:c>
      <x:c r="J132" s="25" t="str">
        <x:v>运用“包装成本控制”应对“包装未通过防潮防盗或运输测试”，把原则转化为可执行的谈判行动。</x:v>
      </x:c>
      <x:c r="K132" s="26" t="str">
        <x:v>Stops cost-cutting that drops the pack below insurer minimums.</x:v>
      </x:c>
    </x:row>
    <x:row r="133">
      <x:c r="A133" s="24" t="n">
        <x:v>5</x:v>
      </x:c>
      <x:c r="B133" s="25" t="str">
        <x:v>S5</x:v>
      </x:c>
      <x:c r="C133" s="25" t="str">
        <x:v>包装与装运</x:v>
      </x:c>
      <x:c r="D133" s="25" t="str">
        <x:v>P5.02</x:v>
      </x:c>
      <x:c r="E133" s="25" t="str">
        <x:v>唛头错误导致货物混淆</x:v>
      </x:c>
      <x:c r="F133" s="25" t="str">
        <x:v>高</x:v>
      </x:c>
      <x:c r="G133" s="25" t="str">
        <x:v>K056</x:v>
      </x:c>
      <x:c r="H133" s="25" t="str">
        <x:v>包装唛头与标志</x:v>
      </x:c>
      <x:c r="I133" s="25" t="str">
        <x:v>业务流程</x:v>
      </x:c>
      <x:c r="J133" s="25" t="str">
        <x:v>“包装唛头与标志”可用于识别、预防或处理“唛头错误导致货物混淆”。</x:v>
      </x:c>
      <x:c r="K133" s="26" t="str">
        <x:v>Corrects shipping marks and handling symbols.</x:v>
      </x:c>
    </x:row>
    <x:row r="134">
      <x:c r="A134" s="24" t="n">
        <x:v>5</x:v>
      </x:c>
      <x:c r="B134" s="25" t="str">
        <x:v>S5</x:v>
      </x:c>
      <x:c r="C134" s="25" t="str">
        <x:v>包装与装运</x:v>
      </x:c>
      <x:c r="D134" s="25" t="str">
        <x:v>P5.02</x:v>
      </x:c>
      <x:c r="E134" s="25" t="str">
        <x:v>唛头错误导致货物混淆</x:v>
      </x:c>
      <x:c r="F134" s="25" t="str">
        <x:v>高</x:v>
      </x:c>
      <x:c r="G134" s="25" t="str">
        <x:v>K058</x:v>
      </x:c>
      <x:c r="H134" s="25" t="str">
        <x:v>装运通知与货物跟踪</x:v>
      </x:c>
      <x:c r="I134" s="25" t="str">
        <x:v>业务流程</x:v>
      </x:c>
      <x:c r="J134" s="25" t="str">
        <x:v>“装运通知与货物跟踪”可用于识别、预防或处理“唛头错误导致货物混淆”。</x:v>
      </x:c>
      <x:c r="K134" s="26" t="str">
        <x:v>Puts the same marks on the shipping advice so parties can match cargo.</x:v>
      </x:c>
    </x:row>
    <x:row r="135">
      <x:c r="A135" s="24" t="n">
        <x:v>5</x:v>
      </x:c>
      <x:c r="B135" s="25" t="str">
        <x:v>S5</x:v>
      </x:c>
      <x:c r="C135" s="25" t="str">
        <x:v>包装与装运</x:v>
      </x:c>
      <x:c r="D135" s="25" t="str">
        <x:v>P5.02</x:v>
      </x:c>
      <x:c r="E135" s="25" t="str">
        <x:v>唛头错误导致货物混淆</x:v>
      </x:c>
      <x:c r="F135" s="25" t="str">
        <x:v>高</x:v>
      </x:c>
      <x:c r="G135" s="25" t="str">
        <x:v>K059</x:v>
      </x:c>
      <x:c r="H135" s="25" t="str">
        <x:v>装运中的文化敏感性</x:v>
      </x:c>
      <x:c r="I135" s="25" t="str">
        <x:v>跨文化</x:v>
      </x:c>
      <x:c r="J135" s="25" t="str">
        <x:v>“装运中的文化敏感性”可用于识别、预防或处理“唛头错误导致货物混淆”。</x:v>
      </x:c>
      <x:c r="K135" s="26" t="str">
        <x:v>Avoids marks that are unreadable or culturally offensive.</x:v>
      </x:c>
    </x:row>
    <x:row r="136">
      <x:c r="A136" s="24" t="n">
        <x:v>5</x:v>
      </x:c>
      <x:c r="B136" s="25" t="str">
        <x:v>S5</x:v>
      </x:c>
      <x:c r="C136" s="25" t="str">
        <x:v>包装与装运</x:v>
      </x:c>
      <x:c r="D136" s="25" t="str">
        <x:v>P5.02</x:v>
      </x:c>
      <x:c r="E136" s="25" t="str">
        <x:v>唛头错误导致货物混淆</x:v>
      </x:c>
      <x:c r="F136" s="25" t="str">
        <x:v>高</x:v>
      </x:c>
      <x:c r="G136" s="25" t="str">
        <x:v>K065</x:v>
      </x:c>
      <x:c r="H136" s="25" t="str">
        <x:v>国际运输规则、海关与港口物流</x:v>
      </x:c>
      <x:c r="I136" s="25" t="str">
        <x:v>业务流程</x:v>
      </x:c>
      <x:c r="J136" s="25" t="str">
        <x:v>“国际运输规则、海关与港口物流”可用于识别、预防或处理“唛头错误导致货物混淆”。</x:v>
      </x:c>
      <x:c r="K136" s="26" t="str">
        <x:v>Aligns marks with B/L and customs data.</x:v>
      </x:c>
    </x:row>
    <x:row r="137">
      <x:c r="A137" s="24" t="n">
        <x:v>5</x:v>
      </x:c>
      <x:c r="B137" s="25" t="str">
        <x:v>S5</x:v>
      </x:c>
      <x:c r="C137" s="25" t="str">
        <x:v>包装与装运</x:v>
      </x:c>
      <x:c r="D137" s="25" t="str">
        <x:v>P5.03</x:v>
      </x:c>
      <x:c r="E137" s="25" t="str">
        <x:v>装箱与货物系固错误</x:v>
      </x:c>
      <x:c r="F137" s="25" t="str">
        <x:v>高</x:v>
      </x:c>
      <x:c r="G137" s="25" t="str">
        <x:v>K054</x:v>
      </x:c>
      <x:c r="H137" s="25" t="str">
        <x:v>集装箱装载与货物系固</x:v>
      </x:c>
      <x:c r="I137" s="25" t="str">
        <x:v>业务流程</x:v>
      </x:c>
      <x:c r="J137" s="25" t="str">
        <x:v>“集装箱装载与货物系固”可用于识别、预防或处理“装箱与货物系固错误”。</x:v>
      </x:c>
      <x:c r="K137" s="26" t="str">
        <x:v>Applies stuffing, weight, and lashing rules.</x:v>
      </x:c>
    </x:row>
    <x:row r="138">
      <x:c r="A138" s="24" t="n">
        <x:v>5</x:v>
      </x:c>
      <x:c r="B138" s="25" t="str">
        <x:v>S5</x:v>
      </x:c>
      <x:c r="C138" s="25" t="str">
        <x:v>包装与装运</x:v>
      </x:c>
      <x:c r="D138" s="25" t="str">
        <x:v>P5.03</x:v>
      </x:c>
      <x:c r="E138" s="25" t="str">
        <x:v>装箱与货物系固错误</x:v>
      </x:c>
      <x:c r="F138" s="25" t="str">
        <x:v>高</x:v>
      </x:c>
      <x:c r="G138" s="25" t="str">
        <x:v>K064</x:v>
      </x:c>
      <x:c r="H138" s="25" t="str">
        <x:v>装运风险管理</x:v>
      </x:c>
      <x:c r="I138" s="25" t="str">
        <x:v>风险控制</x:v>
      </x:c>
      <x:c r="J138" s="25" t="str">
        <x:v>“装运风险管理”可用于识别、预防或处理“装箱与货物系固错误”。</x:v>
      </x:c>
      <x:c r="K138" s="26" t="str">
        <x:v>Treats a shifted load as a claim cause, not as bad luck.</x:v>
      </x:c>
    </x:row>
    <x:row r="139">
      <x:c r="A139" s="24" t="n">
        <x:v>5</x:v>
      </x:c>
      <x:c r="B139" s="25" t="str">
        <x:v>S5</x:v>
      </x:c>
      <x:c r="C139" s="25" t="str">
        <x:v>包装与装运</x:v>
      </x:c>
      <x:c r="D139" s="25" t="str">
        <x:v>P5.03</x:v>
      </x:c>
      <x:c r="E139" s="25" t="str">
        <x:v>装箱与货物系固错误</x:v>
      </x:c>
      <x:c r="F139" s="25" t="str">
        <x:v>高</x:v>
      </x:c>
      <x:c r="G139" s="25" t="str">
        <x:v>K052</x:v>
      </x:c>
      <x:c r="H139" s="25" t="str">
        <x:v>出口包装要求</x:v>
      </x:c>
      <x:c r="I139" s="25" t="str">
        <x:v>概念</x:v>
      </x:c>
      <x:c r="J139" s="25" t="str">
        <x:v>“出口包装要求”可用于识别、预防或处理“装箱与货物系固错误”。</x:v>
      </x:c>
      <x:c r="K139" s="26" t="str">
        <x:v>Checks that inner packing can survive the stuffing plan.</x:v>
      </x:c>
    </x:row>
    <x:row r="140">
      <x:c r="A140" s="24" t="n">
        <x:v>5</x:v>
      </x:c>
      <x:c r="B140" s="25" t="str">
        <x:v>S5</x:v>
      </x:c>
      <x:c r="C140" s="25" t="str">
        <x:v>包装与装运</x:v>
      </x:c>
      <x:c r="D140" s="25" t="str">
        <x:v>P5.03</x:v>
      </x:c>
      <x:c r="E140" s="25" t="str">
        <x:v>装箱与货物系固错误</x:v>
      </x:c>
      <x:c r="F140" s="25" t="str">
        <x:v>高</x:v>
      </x:c>
      <x:c r="G140" s="25" t="str">
        <x:v>K062</x:v>
      </x:c>
      <x:c r="H140" s="25" t="str">
        <x:v>货运代理选择与协作</x:v>
      </x:c>
      <x:c r="I140" s="25" t="str">
        <x:v>业务流程</x:v>
      </x:c>
      <x:c r="J140" s="25" t="str">
        <x:v>“货运代理选择与协作”可用于识别、预防或处理“装箱与货物系固错误”。</x:v>
      </x:c>
      <x:c r="K140" s="26" t="str">
        <x:v>Makes the forwarder jointly responsible for a load plan.</x:v>
      </x:c>
    </x:row>
    <x:row r="141">
      <x:c r="A141" s="24" t="n">
        <x:v>5</x:v>
      </x:c>
      <x:c r="B141" s="25" t="str">
        <x:v>S5</x:v>
      </x:c>
      <x:c r="C141" s="25" t="str">
        <x:v>包装与装运</x:v>
      </x:c>
      <x:c r="D141" s="25" t="str">
        <x:v>P5.04</x:v>
      </x:c>
      <x:c r="E141" s="25" t="str">
        <x:v>运输方式错误或错过船期</x:v>
      </x:c>
      <x:c r="F141" s="25" t="str">
        <x:v>中</x:v>
      </x:c>
      <x:c r="G141" s="25" t="str">
        <x:v>K057</x:v>
      </x:c>
      <x:c r="H141" s="25" t="str">
        <x:v>运输方式选择</x:v>
      </x:c>
      <x:c r="I141" s="25" t="str">
        <x:v>策略</x:v>
      </x:c>
      <x:c r="J141" s="25" t="str">
        <x:v>运用“运输方式选择”应对“运输方式错误或错过船期”，把原则转化为可执行的谈判行动。</x:v>
      </x:c>
      <x:c r="K141" s="26" t="str">
        <x:v>Re-selects mode on landed cost and season, not on freight alone.</x:v>
      </x:c>
    </x:row>
    <x:row r="142">
      <x:c r="A142" s="24" t="n">
        <x:v>5</x:v>
      </x:c>
      <x:c r="B142" s="25" t="str">
        <x:v>S5</x:v>
      </x:c>
      <x:c r="C142" s="25" t="str">
        <x:v>包装与装运</x:v>
      </x:c>
      <x:c r="D142" s="25" t="str">
        <x:v>P5.04</x:v>
      </x:c>
      <x:c r="E142" s="25" t="str">
        <x:v>运输方式错误或错过船期</x:v>
      </x:c>
      <x:c r="F142" s="25" t="str">
        <x:v>中</x:v>
      </x:c>
      <x:c r="G142" s="25" t="str">
        <x:v>K063</x:v>
      </x:c>
      <x:c r="H142" s="25" t="str">
        <x:v>装运时间管理</x:v>
      </x:c>
      <x:c r="I142" s="25" t="str">
        <x:v>业务流程</x:v>
      </x:c>
      <x:c r="J142" s="25" t="str">
        <x:v>“装运时间管理”可用于识别、预防或处理“运输方式错误或错过船期”。</x:v>
      </x:c>
      <x:c r="K142" s="26" t="str">
        <x:v>Manages cut-offs so the booked vessel is actually made.</x:v>
      </x:c>
    </x:row>
    <x:row r="143">
      <x:c r="A143" s="24" t="n">
        <x:v>5</x:v>
      </x:c>
      <x:c r="B143" s="25" t="str">
        <x:v>S5</x:v>
      </x:c>
      <x:c r="C143" s="25" t="str">
        <x:v>包装与装运</x:v>
      </x:c>
      <x:c r="D143" s="25" t="str">
        <x:v>P5.04</x:v>
      </x:c>
      <x:c r="E143" s="25" t="str">
        <x:v>运输方式错误或错过船期</x:v>
      </x:c>
      <x:c r="F143" s="25" t="str">
        <x:v>中</x:v>
      </x:c>
      <x:c r="G143" s="25" t="str">
        <x:v>K062</x:v>
      </x:c>
      <x:c r="H143" s="25" t="str">
        <x:v>货运代理选择与协作</x:v>
      </x:c>
      <x:c r="I143" s="25" t="str">
        <x:v>业务流程</x:v>
      </x:c>
      <x:c r="J143" s="25" t="str">
        <x:v>“货运代理选择与协作”可用于识别、预防或处理“运输方式错误或错过船期”。</x:v>
      </x:c>
      <x:c r="K143" s="26" t="str">
        <x:v>Uses the forwarder to recover a missed sailing or to rebook.</x:v>
      </x:c>
    </x:row>
    <x:row r="144">
      <x:c r="A144" s="24" t="n">
        <x:v>5</x:v>
      </x:c>
      <x:c r="B144" s="25" t="str">
        <x:v>S5</x:v>
      </x:c>
      <x:c r="C144" s="25" t="str">
        <x:v>包装与装运</x:v>
      </x:c>
      <x:c r="D144" s="25" t="str">
        <x:v>P5.04</x:v>
      </x:c>
      <x:c r="E144" s="25" t="str">
        <x:v>运输方式错误或错过船期</x:v>
      </x:c>
      <x:c r="F144" s="25" t="str">
        <x:v>中</x:v>
      </x:c>
      <x:c r="G144" s="25" t="str">
        <x:v>K049</x:v>
      </x:c>
      <x:c r="H144" s="25" t="str">
        <x:v>订单交付日期跟踪</x:v>
      </x:c>
      <x:c r="I144" s="25" t="str">
        <x:v>业务流程</x:v>
      </x:c>
      <x:c r="J144" s="25" t="str">
        <x:v>“订单交付日期跟踪”可用于识别、预防或处理“运输方式错误或错过船期”。</x:v>
      </x:c>
      <x:c r="K144" s="26" t="str">
        <x:v>Feeds the miss back into the contractual delivery tracker.</x:v>
      </x:c>
    </x:row>
    <x:row r="145">
      <x:c r="A145" s="24" t="n">
        <x:v>5</x:v>
      </x:c>
      <x:c r="B145" s="25" t="str">
        <x:v>S5</x:v>
      </x:c>
      <x:c r="C145" s="25" t="str">
        <x:v>包装与装运</x:v>
      </x:c>
      <x:c r="D145" s="25" t="str">
        <x:v>P5.05</x:v>
      </x:c>
      <x:c r="E145" s="25" t="str">
        <x:v>未及时发送装运通知</x:v>
      </x:c>
      <x:c r="F145" s="25" t="str">
        <x:v>高</x:v>
      </x:c>
      <x:c r="G145" s="25" t="str">
        <x:v>K058</x:v>
      </x:c>
      <x:c r="H145" s="25" t="str">
        <x:v>装运通知与货物跟踪</x:v>
      </x:c>
      <x:c r="I145" s="25" t="str">
        <x:v>业务流程</x:v>
      </x:c>
      <x:c r="J145" s="25" t="str">
        <x:v>“装运通知与货物跟踪”可用于识别、预防或处理“未及时发送装运通知”。</x:v>
      </x:c>
      <x:c r="K145" s="26" t="str">
        <x:v>Makes shipping advice a timed, mandatory step.</x:v>
      </x:c>
    </x:row>
    <x:row r="146">
      <x:c r="A146" s="24" t="n">
        <x:v>5</x:v>
      </x:c>
      <x:c r="B146" s="25" t="str">
        <x:v>S5</x:v>
      </x:c>
      <x:c r="C146" s="25" t="str">
        <x:v>包装与装运</x:v>
      </x:c>
      <x:c r="D146" s="25" t="str">
        <x:v>P5.05</x:v>
      </x:c>
      <x:c r="E146" s="25" t="str">
        <x:v>未及时发送装运通知</x:v>
      </x:c>
      <x:c r="F146" s="25" t="str">
        <x:v>高</x:v>
      </x:c>
      <x:c r="G146" s="25" t="str">
        <x:v>K065</x:v>
      </x:c>
      <x:c r="H146" s="25" t="str">
        <x:v>国际运输规则、海关与港口物流</x:v>
      </x:c>
      <x:c r="I146" s="25" t="str">
        <x:v>业务流程</x:v>
      </x:c>
      <x:c r="J146" s="25" t="str">
        <x:v>“国际运输规则、海关与港口物流”可用于识别、预防或处理“未及时发送装运通知”。</x:v>
      </x:c>
      <x:c r="K146" s="26" t="str">
        <x:v>Ties advice to B/L surrender, customs, and pickup.</x:v>
      </x:c>
    </x:row>
    <x:row r="147">
      <x:c r="A147" s="24" t="n">
        <x:v>5</x:v>
      </x:c>
      <x:c r="B147" s="25" t="str">
        <x:v>S5</x:v>
      </x:c>
      <x:c r="C147" s="25" t="str">
        <x:v>包装与装运</x:v>
      </x:c>
      <x:c r="D147" s="25" t="str">
        <x:v>P5.05</x:v>
      </x:c>
      <x:c r="E147" s="25" t="str">
        <x:v>未及时发送装运通知</x:v>
      </x:c>
      <x:c r="F147" s="25" t="str">
        <x:v>高</x:v>
      </x:c>
      <x:c r="G147" s="25" t="str">
        <x:v>K093</x:v>
      </x:c>
      <x:c r="H147" s="25" t="str">
        <x:v>投保与保险索赔程序</x:v>
      </x:c>
      <x:c r="I147" s="25" t="str">
        <x:v>业务流程</x:v>
      </x:c>
      <x:c r="J147" s="25" t="str">
        <x:v>“投保与保险索赔程序”可用于识别、预防或处理“未及时发送装运通知”。</x:v>
      </x:c>
      <x:c r="K147" s="26" t="str">
        <x:v>Gives the insurer the notice they need if a casualty follows.</x:v>
      </x:c>
    </x:row>
    <x:row r="148">
      <x:c r="A148" s="24" t="n">
        <x:v>5</x:v>
      </x:c>
      <x:c r="B148" s="25" t="str">
        <x:v>S5</x:v>
      </x:c>
      <x:c r="C148" s="25" t="str">
        <x:v>包装与装运</x:v>
      </x:c>
      <x:c r="D148" s="25" t="str">
        <x:v>P5.05</x:v>
      </x:c>
      <x:c r="E148" s="25" t="str">
        <x:v>未及时发送装运通知</x:v>
      </x:c>
      <x:c r="F148" s="25" t="str">
        <x:v>高</x:v>
      </x:c>
      <x:c r="G148" s="25" t="str">
        <x:v>K066</x:v>
      </x:c>
      <x:c r="H148" s="25" t="str">
        <x:v>信用证的开立、条款与解释</x:v>
      </x:c>
      <x:c r="I148" s="25" t="str">
        <x:v>法律规则</x:v>
      </x:c>
      <x:c r="J148" s="25" t="str">
        <x:v>“信用证的开立、条款与解释”可用于识别、预防或处理“未及时发送装运通知”。</x:v>
      </x:c>
      <x:c r="K148" s="26" t="str">
        <x:v>Meets L/C presentation calendars that start from the B/L date.</x:v>
      </x:c>
    </x:row>
    <x:row r="149">
      <x:c r="A149" s="24" t="n">
        <x:v>5</x:v>
      </x:c>
      <x:c r="B149" s="25" t="str">
        <x:v>S5</x:v>
      </x:c>
      <x:c r="C149" s="25" t="str">
        <x:v>包装与装运</x:v>
      </x:c>
      <x:c r="D149" s="25" t="str">
        <x:v>P5.06</x:v>
      </x:c>
      <x:c r="E149" s="25" t="str">
        <x:v>包装环保或监管不合规</x:v>
      </x:c>
      <x:c r="F149" s="25" t="str">
        <x:v>高</x:v>
      </x:c>
      <x:c r="G149" s="25" t="str">
        <x:v>K060</x:v>
      </x:c>
      <x:c r="H149" s="25" t="str">
        <x:v>包装环保与监管要求</x:v>
      </x:c>
      <x:c r="I149" s="25" t="str">
        <x:v>法律规则</x:v>
      </x:c>
      <x:c r="J149" s="25" t="str">
        <x:v>“包装环保与监管要求”可用于识别、预防或处理“包装环保或监管不合规”。</x:v>
      </x:c>
      <x:c r="K149" s="26" t="str">
        <x:v>Applies ISPM-15 and destination packaging-waste rules.</x:v>
      </x:c>
    </x:row>
    <x:row r="150">
      <x:c r="A150" s="24" t="n">
        <x:v>5</x:v>
      </x:c>
      <x:c r="B150" s="25" t="str">
        <x:v>S5</x:v>
      </x:c>
      <x:c r="C150" s="25" t="str">
        <x:v>包装与装运</x:v>
      </x:c>
      <x:c r="D150" s="25" t="str">
        <x:v>P5.06</x:v>
      </x:c>
      <x:c r="E150" s="25" t="str">
        <x:v>包装环保或监管不合规</x:v>
      </x:c>
      <x:c r="F150" s="25" t="str">
        <x:v>高</x:v>
      </x:c>
      <x:c r="G150" s="25" t="str">
        <x:v>K052</x:v>
      </x:c>
      <x:c r="H150" s="25" t="str">
        <x:v>出口包装要求</x:v>
      </x:c>
      <x:c r="I150" s="25" t="str">
        <x:v>概念</x:v>
      </x:c>
      <x:c r="J150" s="25" t="str">
        <x:v>“出口包装要求”可用于识别、预防或处理“包装环保或监管不合规”。</x:v>
      </x:c>
      <x:c r="K150" s="26" t="str">
        <x:v>Treats regulatory packing as part of export packing, not an extra.</x:v>
      </x:c>
    </x:row>
    <x:row r="151">
      <x:c r="A151" s="24" t="n">
        <x:v>5</x:v>
      </x:c>
      <x:c r="B151" s="25" t="str">
        <x:v>S5</x:v>
      </x:c>
      <x:c r="C151" s="25" t="str">
        <x:v>包装与装运</x:v>
      </x:c>
      <x:c r="D151" s="25" t="str">
        <x:v>P5.06</x:v>
      </x:c>
      <x:c r="E151" s="25" t="str">
        <x:v>包装环保或监管不合规</x:v>
      </x:c>
      <x:c r="F151" s="25" t="str">
        <x:v>高</x:v>
      </x:c>
      <x:c r="G151" s="25" t="str">
        <x:v>K089</x:v>
      </x:c>
      <x:c r="H151" s="25" t="str">
        <x:v>多国检验、认证与环保测试</x:v>
      </x:c>
      <x:c r="I151" s="25" t="str">
        <x:v>业务流程</x:v>
      </x:c>
      <x:c r="J151" s="25" t="str">
        <x:v>“多国检验、认证与环保测试”可用于识别、预防或处理“包装环保或监管不合规”。</x:v>
      </x:c>
      <x:c r="K151" s="26" t="str">
        <x:v>Connects packing rules to chemical and product environmental tests.</x:v>
      </x:c>
    </x:row>
    <x:row r="152">
      <x:c r="A152" s="24" t="n">
        <x:v>5</x:v>
      </x:c>
      <x:c r="B152" s="25" t="str">
        <x:v>S5</x:v>
      </x:c>
      <x:c r="C152" s="25" t="str">
        <x:v>包装与装运</x:v>
      </x:c>
      <x:c r="D152" s="25" t="str">
        <x:v>P5.06</x:v>
      </x:c>
      <x:c r="E152" s="25" t="str">
        <x:v>包装环保或监管不合规</x:v>
      </x:c>
      <x:c r="F152" s="25" t="str">
        <x:v>高</x:v>
      </x:c>
      <x:c r="G152" s="25" t="str">
        <x:v>K065</x:v>
      </x:c>
      <x:c r="H152" s="25" t="str">
        <x:v>国际运输规则、海关与港口物流</x:v>
      </x:c>
      <x:c r="I152" s="25" t="str">
        <x:v>业务流程</x:v>
      </x:c>
      <x:c r="J152" s="25" t="str">
        <x:v>“国际运输规则、海关与港口物流”可用于识别、预防或处理“包装环保或监管不合规”。</x:v>
      </x:c>
      <x:c r="K152" s="26" t="str">
        <x:v>Stops a green-rule miss from becoming a customs hold.</x:v>
      </x:c>
    </x:row>
    <x:row r="153">
      <x:c r="A153" s="24" t="n">
        <x:v>5</x:v>
      </x:c>
      <x:c r="B153" s="25" t="str">
        <x:v>S5</x:v>
      </x:c>
      <x:c r="C153" s="25" t="str">
        <x:v>包装与装运</x:v>
      </x:c>
      <x:c r="D153" s="25" t="str">
        <x:v>P5.07</x:v>
      </x:c>
      <x:c r="E153" s="25" t="str">
        <x:v>海关与货代协同失败</x:v>
      </x:c>
      <x:c r="F153" s="25" t="str">
        <x:v>高</x:v>
      </x:c>
      <x:c r="G153" s="25" t="str">
        <x:v>K062</x:v>
      </x:c>
      <x:c r="H153" s="25" t="str">
        <x:v>货运代理选择与协作</x:v>
      </x:c>
      <x:c r="I153" s="25" t="str">
        <x:v>业务流程</x:v>
      </x:c>
      <x:c r="J153" s="25" t="str">
        <x:v>“货运代理选择与协作”可用于识别、预防或处理“海关与货代协同失败”。</x:v>
      </x:c>
      <x:c r="K153" s="26" t="str">
        <x:v>Selects and briefs a forwarder who can actually clear the lane.</x:v>
      </x:c>
    </x:row>
    <x:row r="154">
      <x:c r="A154" s="24" t="n">
        <x:v>5</x:v>
      </x:c>
      <x:c r="B154" s="25" t="str">
        <x:v>S5</x:v>
      </x:c>
      <x:c r="C154" s="25" t="str">
        <x:v>包装与装运</x:v>
      </x:c>
      <x:c r="D154" s="25" t="str">
        <x:v>P5.07</x:v>
      </x:c>
      <x:c r="E154" s="25" t="str">
        <x:v>海关与货代协同失败</x:v>
      </x:c>
      <x:c r="F154" s="25" t="str">
        <x:v>高</x:v>
      </x:c>
      <x:c r="G154" s="25" t="str">
        <x:v>K065</x:v>
      </x:c>
      <x:c r="H154" s="25" t="str">
        <x:v>国际运输规则、海关与港口物流</x:v>
      </x:c>
      <x:c r="I154" s="25" t="str">
        <x:v>业务流程</x:v>
      </x:c>
      <x:c r="J154" s="25" t="str">
        <x:v>“国际运输规则、海关与港口物流”可用于识别、预防或处理“海关与货代协同失败”。</x:v>
      </x:c>
      <x:c r="K154" s="26" t="str">
        <x:v>Runs ISF/ENS, B/L, and port steps as one file.</x:v>
      </x:c>
    </x:row>
    <x:row r="155">
      <x:c r="A155" s="24" t="n">
        <x:v>5</x:v>
      </x:c>
      <x:c r="B155" s="25" t="str">
        <x:v>S5</x:v>
      </x:c>
      <x:c r="C155" s="25" t="str">
        <x:v>包装与装运</x:v>
      </x:c>
      <x:c r="D155" s="25" t="str">
        <x:v>P5.07</x:v>
      </x:c>
      <x:c r="E155" s="25" t="str">
        <x:v>海关与货代协同失败</x:v>
      </x:c>
      <x:c r="F155" s="25" t="str">
        <x:v>高</x:v>
      </x:c>
      <x:c r="G155" s="25" t="str">
        <x:v>K058</x:v>
      </x:c>
      <x:c r="H155" s="25" t="str">
        <x:v>装运通知与货物跟踪</x:v>
      </x:c>
      <x:c r="I155" s="25" t="str">
        <x:v>业务流程</x:v>
      </x:c>
      <x:c r="J155" s="25" t="str">
        <x:v>“装运通知与货物跟踪”可用于识别、预防或处理“海关与货代协同失败”。</x:v>
      </x:c>
      <x:c r="K155" s="26" t="str">
        <x:v>Keeps all parties on the same tracking picture.</x:v>
      </x:c>
    </x:row>
    <x:row r="156">
      <x:c r="A156" s="24" t="n">
        <x:v>5</x:v>
      </x:c>
      <x:c r="B156" s="25" t="str">
        <x:v>S5</x:v>
      </x:c>
      <x:c r="C156" s="25" t="str">
        <x:v>包装与装运</x:v>
      </x:c>
      <x:c r="D156" s="25" t="str">
        <x:v>P5.07</x:v>
      </x:c>
      <x:c r="E156" s="25" t="str">
        <x:v>海关与货代协同失败</x:v>
      </x:c>
      <x:c r="F156" s="25" t="str">
        <x:v>高</x:v>
      </x:c>
      <x:c r="G156" s="25" t="str">
        <x:v>K043</x:v>
      </x:c>
      <x:c r="H156" s="25" t="str">
        <x:v>订货流程与确认</x:v>
      </x:c>
      <x:c r="I156" s="25" t="str">
        <x:v>业务流程</x:v>
      </x:c>
      <x:c r="J156" s="25" t="str">
        <x:v>“订货流程与确认”可用于识别、预防或处理“海关与货代协同失败”。</x:v>
      </x:c>
      <x:c r="K156" s="26" t="str">
        <x:v>Checks that the order confirmation named the real shipper/consignee.</x:v>
      </x:c>
    </x:row>
    <x:row r="157">
      <x:c r="A157" s="24" t="n">
        <x:v>5</x:v>
      </x:c>
      <x:c r="B157" s="25" t="str">
        <x:v>S5</x:v>
      </x:c>
      <x:c r="C157" s="25" t="str">
        <x:v>包装与装运</x:v>
      </x:c>
      <x:c r="D157" s="25" t="str">
        <x:v>P5.08</x:v>
      </x:c>
      <x:c r="E157" s="25" t="str">
        <x:v>包装色彩或符号触犯文化禁忌</x:v>
      </x:c>
      <x:c r="F157" s="25" t="str">
        <x:v>低</x:v>
      </x:c>
      <x:c r="G157" s="25" t="str">
        <x:v>K059</x:v>
      </x:c>
      <x:c r="H157" s="25" t="str">
        <x:v>装运中的文化敏感性</x:v>
      </x:c>
      <x:c r="I157" s="25" t="str">
        <x:v>跨文化</x:v>
      </x:c>
      <x:c r="J157" s="25" t="str">
        <x:v>“装运中的文化敏感性”可用于识别、预防或处理“包装色彩或符号触犯文化禁忌”。</x:v>
      </x:c>
      <x:c r="K157" s="26" t="str">
        <x:v>Screens colours, numbers, and motifs for the destination.</x:v>
      </x:c>
    </x:row>
    <x:row r="158">
      <x:c r="A158" s="24" t="n">
        <x:v>5</x:v>
      </x:c>
      <x:c r="B158" s="25" t="str">
        <x:v>S5</x:v>
      </x:c>
      <x:c r="C158" s="25" t="str">
        <x:v>包装与装运</x:v>
      </x:c>
      <x:c r="D158" s="25" t="str">
        <x:v>P5.08</x:v>
      </x:c>
      <x:c r="E158" s="25" t="str">
        <x:v>包装色彩或符号触犯文化禁忌</x:v>
      </x:c>
      <x:c r="F158" s="25" t="str">
        <x:v>低</x:v>
      </x:c>
      <x:c r="G158" s="25" t="str">
        <x:v>K056</x:v>
      </x:c>
      <x:c r="H158" s="25" t="str">
        <x:v>包装唛头与标志</x:v>
      </x:c>
      <x:c r="I158" s="25" t="str">
        <x:v>业务流程</x:v>
      </x:c>
      <x:c r="J158" s="25" t="str">
        <x:v>“包装唛头与标志”可用于识别、预防或处理“包装色彩或符号触犯文化禁忌”。</x:v>
      </x:c>
      <x:c r="K158" s="26" t="str">
        <x:v>Redesigns marks without losing identification function.</x:v>
      </x:c>
    </x:row>
    <x:row r="159">
      <x:c r="A159" s="24" t="n">
        <x:v>5</x:v>
      </x:c>
      <x:c r="B159" s="25" t="str">
        <x:v>S5</x:v>
      </x:c>
      <x:c r="C159" s="25" t="str">
        <x:v>包装与装运</x:v>
      </x:c>
      <x:c r="D159" s="25" t="str">
        <x:v>P5.08</x:v>
      </x:c>
      <x:c r="E159" s="25" t="str">
        <x:v>包装色彩或符号触犯文化禁忌</x:v>
      </x:c>
      <x:c r="F159" s="25" t="str">
        <x:v>低</x:v>
      </x:c>
      <x:c r="G159" s="25" t="str">
        <x:v>K007</x:v>
      </x:c>
      <x:c r="H159" s="25" t="str">
        <x:v>询盘礼仪与跨文化差异</x:v>
      </x:c>
      <x:c r="I159" s="25" t="str">
        <x:v>跨文化</x:v>
      </x:c>
      <x:c r="J159" s="25" t="str">
        <x:v>“询盘礼仪与跨文化差异”可用于识别、预防或处理“包装色彩或符号触犯文化禁忌”。</x:v>
      </x:c>
      <x:c r="K159" s="26" t="str">
        <x:v>Uses the same cultural literacy that first contact required.</x:v>
      </x:c>
    </x:row>
    <x:row r="160">
      <x:c r="A160" s="24" t="n">
        <x:v>6</x:v>
      </x:c>
      <x:c r="B160" s="25" t="str">
        <x:v>S6</x:v>
      </x:c>
      <x:c r="C160" s="25" t="str">
        <x:v>付款与交付</x:v>
      </x:c>
      <x:c r="D160" s="25" t="str">
        <x:v>P6.01</x:v>
      </x:c>
      <x:c r="E160" s="25" t="str">
        <x:v>付款方式谈判僵局</x:v>
      </x:c>
      <x:c r="F160" s="25" t="str">
        <x:v>高</x:v>
      </x:c>
      <x:c r="G160" s="25" t="str">
        <x:v>K069</x:v>
      </x:c>
      <x:c r="H160" s="25" t="str">
        <x:v>付款方式僵局处理</x:v>
      </x:c>
      <x:c r="I160" s="25" t="str">
        <x:v>策略</x:v>
      </x:c>
      <x:c r="J160" s="25" t="str">
        <x:v>运用“付款方式僵局处理”应对“付款方式谈判僵局”，把原则转化为可执行的谈判行动。</x:v>
      </x:c>
      <x:c r="K160" s="26" t="str">
        <x:v>Applies deadlock tools, including retreat-to-advance on the instrument.</x:v>
      </x:c>
    </x:row>
    <x:row r="161">
      <x:c r="A161" s="24" t="n">
        <x:v>6</x:v>
      </x:c>
      <x:c r="B161" s="25" t="str">
        <x:v>S6</x:v>
      </x:c>
      <x:c r="C161" s="25" t="str">
        <x:v>付款与交付</x:v>
      </x:c>
      <x:c r="D161" s="25" t="str">
        <x:v>P6.01</x:v>
      </x:c>
      <x:c r="E161" s="25" t="str">
        <x:v>付款方式谈判僵局</x:v>
      </x:c>
      <x:c r="F161" s="25" t="str">
        <x:v>高</x:v>
      </x:c>
      <x:c r="G161" s="25" t="str">
        <x:v>K070</x:v>
      </x:c>
      <x:c r="H161" s="25" t="str">
        <x:v>付款方式比较与选择</x:v>
      </x:c>
      <x:c r="I161" s="25" t="str">
        <x:v>策略</x:v>
      </x:c>
      <x:c r="J161" s="25" t="str">
        <x:v>运用“付款方式比较与选择”应对“付款方式谈判僵局”，把原则转化为可执行的谈判行动。</x:v>
      </x:c>
      <x:c r="K161" s="26" t="str">
        <x:v>Puts L/C, T/T, and collection on one risk/cost comparison.</x:v>
      </x:c>
    </x:row>
    <x:row r="162">
      <x:c r="A162" s="24" t="n">
        <x:v>6</x:v>
      </x:c>
      <x:c r="B162" s="25" t="str">
        <x:v>S6</x:v>
      </x:c>
      <x:c r="C162" s="25" t="str">
        <x:v>付款与交付</x:v>
      </x:c>
      <x:c r="D162" s="25" t="str">
        <x:v>P6.01</x:v>
      </x:c>
      <x:c r="E162" s="25" t="str">
        <x:v>付款方式谈判僵局</x:v>
      </x:c>
      <x:c r="F162" s="25" t="str">
        <x:v>高</x:v>
      </x:c>
      <x:c r="G162" s="25" t="str">
        <x:v>K076</x:v>
      </x:c>
      <x:c r="H162" s="25" t="str">
        <x:v>混合与综合付款方式</x:v>
      </x:c>
      <x:c r="I162" s="25" t="str">
        <x:v>策略</x:v>
      </x:c>
      <x:c r="J162" s="25" t="str">
        <x:v>运用“混合与综合付款方式”应对“付款方式谈判僵局”，把原则转化为可执行的谈判行动。</x:v>
      </x:c>
      <x:c r="K162" s="26" t="str">
        <x:v>Offers a hybrid as the third way out of a binary fight.</x:v>
      </x:c>
    </x:row>
    <x:row r="163">
      <x:c r="A163" s="24" t="n">
        <x:v>6</x:v>
      </x:c>
      <x:c r="B163" s="25" t="str">
        <x:v>S6</x:v>
      </x:c>
      <x:c r="C163" s="25" t="str">
        <x:v>付款与交付</x:v>
      </x:c>
      <x:c r="D163" s="25" t="str">
        <x:v>P6.01</x:v>
      </x:c>
      <x:c r="E163" s="25" t="str">
        <x:v>付款方式谈判僵局</x:v>
      </x:c>
      <x:c r="F163" s="25" t="str">
        <x:v>高</x:v>
      </x:c>
      <x:c r="G163" s="25" t="str">
        <x:v>K072</x:v>
      </x:c>
      <x:c r="H163" s="25" t="str">
        <x:v>付款与交付的跨文化差异</x:v>
      </x:c>
      <x:c r="I163" s="25" t="str">
        <x:v>跨文化</x:v>
      </x:c>
      <x:c r="J163" s="25" t="str">
        <x:v>“付款与交付的跨文化差异”可用于识别、预防或处理“付款方式谈判僵局”。</x:v>
      </x:c>
      <x:c r="K163" s="26" t="str">
        <x:v>Reads the deadlock as a cultural risk script, not as stubbornness.</x:v>
      </x:c>
    </x:row>
    <x:row r="164">
      <x:c r="A164" s="24" t="n">
        <x:v>6</x:v>
      </x:c>
      <x:c r="B164" s="25" t="str">
        <x:v>S6</x:v>
      </x:c>
      <x:c r="C164" s="25" t="str">
        <x:v>付款与交付</x:v>
      </x:c>
      <x:c r="D164" s="25" t="str">
        <x:v>P6.01</x:v>
      </x:c>
      <x:c r="E164" s="25" t="str">
        <x:v>付款方式谈判僵局</x:v>
      </x:c>
      <x:c r="F164" s="25" t="str">
        <x:v>高</x:v>
      </x:c>
      <x:c r="G164" s="25" t="str">
        <x:v>K029</x:v>
      </x:c>
      <x:c r="H164" s="25" t="str">
        <x:v>以退为进策略</x:v>
      </x:c>
      <x:c r="I164" s="25" t="str">
        <x:v>策略</x:v>
      </x:c>
      <x:c r="J164" s="25" t="str">
        <x:v>运用“以退为进策略”应对“付款方式谈判僵局”，把原则转化为可执行的谈判行动。</x:v>
      </x:c>
      <x:c r="K164" s="26" t="str">
        <x:v>Reuses retreat-to-advance from the counter-offer stage.</x:v>
      </x:c>
    </x:row>
    <x:row r="165">
      <x:c r="A165" s="24" t="n">
        <x:v>6</x:v>
      </x:c>
      <x:c r="B165" s="25" t="str">
        <x:v>S6</x:v>
      </x:c>
      <x:c r="C165" s="25" t="str">
        <x:v>付款与交付</x:v>
      </x:c>
      <x:c r="D165" s="25" t="str">
        <x:v>P6.01</x:v>
      </x:c>
      <x:c r="E165" s="25" t="str">
        <x:v>付款方式谈判僵局</x:v>
      </x:c>
      <x:c r="F165" s="25" t="str">
        <x:v>高</x:v>
      </x:c>
      <x:c r="G165" s="25" t="str">
        <x:v>K073</x:v>
      </x:c>
      <x:c r="H165" s="25" t="str">
        <x:v>预付款、融资与赊销</x:v>
      </x:c>
      <x:c r="I165" s="25" t="str">
        <x:v>策略</x:v>
      </x:c>
      <x:c r="J165" s="25" t="str">
        <x:v>运用“预付款、融资与赊销”应对“付款方式谈判僵局”，把原则转化为可执行的谈判行动。</x:v>
      </x:c>
      <x:c r="K165" s="26" t="str">
        <x:v>Adds a deposit or financing sweetener to unstick the method.</x:v>
      </x:c>
    </x:row>
    <x:row r="166">
      <x:c r="A166" s="24" t="n">
        <x:v>6</x:v>
      </x:c>
      <x:c r="B166" s="25" t="str">
        <x:v>S6</x:v>
      </x:c>
      <x:c r="C166" s="25" t="str">
        <x:v>付款与交付</x:v>
      </x:c>
      <x:c r="D166" s="25" t="str">
        <x:v>P6.02</x:v>
      </x:c>
      <x:c r="E166" s="25" t="str">
        <x:v>信用证不符点导致拒付</x:v>
      </x:c>
      <x:c r="F166" s="25" t="str">
        <x:v>高</x:v>
      </x:c>
      <x:c r="G166" s="25" t="str">
        <x:v>K066</x:v>
      </x:c>
      <x:c r="H166" s="25" t="str">
        <x:v>信用证的开立、条款与解释</x:v>
      </x:c>
      <x:c r="I166" s="25" t="str">
        <x:v>法律规则</x:v>
      </x:c>
      <x:c r="J166" s="25" t="str">
        <x:v>“信用证的开立、条款与解释”可用于识别、预防或处理“信用证不符点导致拒付”。</x:v>
      </x:c>
      <x:c r="K166" s="26" t="str">
        <x:v>Drafts and checks the L/C against UCP 600 strict compliance.</x:v>
      </x:c>
    </x:row>
    <x:row r="167">
      <x:c r="A167" s="24" t="n">
        <x:v>6</x:v>
      </x:c>
      <x:c r="B167" s="25" t="str">
        <x:v>S6</x:v>
      </x:c>
      <x:c r="C167" s="25" t="str">
        <x:v>付款与交付</x:v>
      </x:c>
      <x:c r="D167" s="25" t="str">
        <x:v>P6.02</x:v>
      </x:c>
      <x:c r="E167" s="25" t="str">
        <x:v>信用证不符点导致拒付</x:v>
      </x:c>
      <x:c r="F167" s="25" t="str">
        <x:v>高</x:v>
      </x:c>
      <x:c r="G167" s="25" t="str">
        <x:v>K077</x:v>
      </x:c>
      <x:c r="H167" s="25" t="str">
        <x:v>国际银行业务与托收技巧</x:v>
      </x:c>
      <x:c r="I167" s="25" t="str">
        <x:v>业务流程</x:v>
      </x:c>
      <x:c r="J167" s="25" t="str">
        <x:v>“国际银行业务与托收技巧”可用于识别、预防或处理“信用证不符点导致拒付”。</x:v>
      </x:c>
      <x:c r="K167" s="26" t="str">
        <x:v>Runs presentation, discrepancy, and waiver operations.</x:v>
      </x:c>
    </x:row>
    <x:row r="168">
      <x:c r="A168" s="24" t="n">
        <x:v>6</x:v>
      </x:c>
      <x:c r="B168" s="25" t="str">
        <x:v>S6</x:v>
      </x:c>
      <x:c r="C168" s="25" t="str">
        <x:v>付款与交付</x:v>
      </x:c>
      <x:c r="D168" s="25" t="str">
        <x:v>P6.02</x:v>
      </x:c>
      <x:c r="E168" s="25" t="str">
        <x:v>信用证不符点导致拒付</x:v>
      </x:c>
      <x:c r="F168" s="25" t="str">
        <x:v>高</x:v>
      </x:c>
      <x:c r="G168" s="25" t="str">
        <x:v>K082</x:v>
      </x:c>
      <x:c r="H168" s="25" t="str">
        <x:v>检验证书与单据</x:v>
      </x:c>
      <x:c r="I168" s="25" t="str">
        <x:v>业务流程</x:v>
      </x:c>
      <x:c r="J168" s="25" t="str">
        <x:v>“检验证书与单据”可用于识别、预防或处理“信用证不符点导致拒付”。</x:v>
      </x:c>
      <x:c r="K168" s="26" t="str">
        <x:v>Aligns inspection certificates with the L/C description.</x:v>
      </x:c>
    </x:row>
    <x:row r="169">
      <x:c r="A169" s="24" t="n">
        <x:v>6</x:v>
      </x:c>
      <x:c r="B169" s="25" t="str">
        <x:v>S6</x:v>
      </x:c>
      <x:c r="C169" s="25" t="str">
        <x:v>付款与交付</x:v>
      </x:c>
      <x:c r="D169" s="25" t="str">
        <x:v>P6.02</x:v>
      </x:c>
      <x:c r="E169" s="25" t="str">
        <x:v>信用证不符点导致拒付</x:v>
      </x:c>
      <x:c r="F169" s="25" t="str">
        <x:v>高</x:v>
      </x:c>
      <x:c r="G169" s="25" t="str">
        <x:v>K019</x:v>
      </x:c>
      <x:c r="H169" s="25" t="str">
        <x:v>发盘函结构</x:v>
      </x:c>
      <x:c r="I169" s="25" t="str">
        <x:v>商务函电</x:v>
      </x:c>
      <x:c r="J169" s="25" t="str">
        <x:v>“发盘函结构”可用于识别、预防或处理“信用证不符点导致拒付”。</x:v>
      </x:c>
      <x:c r="K169" s="26" t="str">
        <x:v>Makes sure the offer’s document list is what the L/C later repeats.</x:v>
      </x:c>
    </x:row>
    <x:row r="170">
      <x:c r="A170" s="24" t="n">
        <x:v>6</x:v>
      </x:c>
      <x:c r="B170" s="25" t="str">
        <x:v>S6</x:v>
      </x:c>
      <x:c r="C170" s="25" t="str">
        <x:v>付款与交付</x:v>
      </x:c>
      <x:c r="D170" s="25" t="str">
        <x:v>P6.02</x:v>
      </x:c>
      <x:c r="E170" s="25" t="str">
        <x:v>信用证不符点导致拒付</x:v>
      </x:c>
      <x:c r="F170" s="25" t="str">
        <x:v>高</x:v>
      </x:c>
      <x:c r="G170" s="25" t="str">
        <x:v>K058</x:v>
      </x:c>
      <x:c r="H170" s="25" t="str">
        <x:v>装运通知与货物跟踪</x:v>
      </x:c>
      <x:c r="I170" s="25" t="str">
        <x:v>业务流程</x:v>
      </x:c>
      <x:c r="J170" s="25" t="str">
        <x:v>“装运通知与货物跟踪”可用于识别、预防或处理“信用证不符点导致拒付”。</x:v>
      </x:c>
      <x:c r="K170" s="26" t="str">
        <x:v>Gets B/L data right so the document set matches.</x:v>
      </x:c>
    </x:row>
    <x:row r="171">
      <x:c r="A171" s="24" t="n">
        <x:v>6</x:v>
      </x:c>
      <x:c r="B171" s="25" t="str">
        <x:v>S6</x:v>
      </x:c>
      <x:c r="C171" s="25" t="str">
        <x:v>付款与交付</x:v>
      </x:c>
      <x:c r="D171" s="25" t="str">
        <x:v>P6.03</x:v>
      </x:c>
      <x:c r="E171" s="25" t="str">
        <x:v>汇率波动侵蚀利润</x:v>
      </x:c>
      <x:c r="F171" s="25" t="str">
        <x:v>高</x:v>
      </x:c>
      <x:c r="G171" s="25" t="str">
        <x:v>K075</x:v>
      </x:c>
      <x:c r="H171" s="25" t="str">
        <x:v>汇率风险管理</x:v>
      </x:c>
      <x:c r="I171" s="25" t="str">
        <x:v>风险控制</x:v>
      </x:c>
      <x:c r="J171" s="25" t="str">
        <x:v>“汇率风险管理”可用于识别、预防或处理“汇率波动侵蚀利润”。</x:v>
      </x:c>
      <x:c r="K171" s="26" t="str">
        <x:v>Hedges, shortens validity, or splits currency exposure.</x:v>
      </x:c>
    </x:row>
    <x:row r="172">
      <x:c r="A172" s="24" t="n">
        <x:v>6</x:v>
      </x:c>
      <x:c r="B172" s="25" t="str">
        <x:v>S6</x:v>
      </x:c>
      <x:c r="C172" s="25" t="str">
        <x:v>付款与交付</x:v>
      </x:c>
      <x:c r="D172" s="25" t="str">
        <x:v>P6.03</x:v>
      </x:c>
      <x:c r="E172" s="25" t="str">
        <x:v>汇率波动侵蚀利润</x:v>
      </x:c>
      <x:c r="F172" s="25" t="str">
        <x:v>高</x:v>
      </x:c>
      <x:c r="G172" s="25" t="str">
        <x:v>K076</x:v>
      </x:c>
      <x:c r="H172" s="25" t="str">
        <x:v>混合与综合付款方式</x:v>
      </x:c>
      <x:c r="I172" s="25" t="str">
        <x:v>策略</x:v>
      </x:c>
      <x:c r="J172" s="25" t="str">
        <x:v>运用“混合与综合付款方式”应对“汇率波动侵蚀利润”，把原则转化为可执行的谈判行动。</x:v>
      </x:c>
      <x:c r="K172" s="26" t="str">
        <x:v>Designs payment timing so FX windows are known.</x:v>
      </x:c>
    </x:row>
    <x:row r="173">
      <x:c r="A173" s="24" t="n">
        <x:v>6</x:v>
      </x:c>
      <x:c r="B173" s="25" t="str">
        <x:v>S6</x:v>
      </x:c>
      <x:c r="C173" s="25" t="str">
        <x:v>付款与交付</x:v>
      </x:c>
      <x:c r="D173" s="25" t="str">
        <x:v>P6.03</x:v>
      </x:c>
      <x:c r="E173" s="25" t="str">
        <x:v>汇率波动侵蚀利润</x:v>
      </x:c>
      <x:c r="F173" s="25" t="str">
        <x:v>高</x:v>
      </x:c>
      <x:c r="G173" s="25" t="str">
        <x:v>K021</x:v>
      </x:c>
      <x:c r="H173" s="25" t="str">
        <x:v>定价因素分析</x:v>
      </x:c>
      <x:c r="I173" s="25" t="str">
        <x:v>业务流程</x:v>
      </x:c>
      <x:c r="J173" s="25" t="str">
        <x:v>“定价因素分析”可用于识别、预防或处理“汇率波动侵蚀利润”。</x:v>
      </x:c>
      <x:c r="K173" s="26" t="str">
        <x:v>Rebuilds the offer price with an FX buffer.</x:v>
      </x:c>
    </x:row>
    <x:row r="174">
      <x:c r="A174" s="24" t="n">
        <x:v>6</x:v>
      </x:c>
      <x:c r="B174" s="25" t="str">
        <x:v>S6</x:v>
      </x:c>
      <x:c r="C174" s="25" t="str">
        <x:v>付款与交付</x:v>
      </x:c>
      <x:c r="D174" s="25" t="str">
        <x:v>P6.03</x:v>
      </x:c>
      <x:c r="E174" s="25" t="str">
        <x:v>汇率波动侵蚀利润</x:v>
      </x:c>
      <x:c r="F174" s="25" t="str">
        <x:v>高</x:v>
      </x:c>
      <x:c r="G174" s="25" t="str">
        <x:v>K024</x:v>
      </x:c>
      <x:c r="H174" s="25" t="str">
        <x:v>发盘风险管理</x:v>
      </x:c>
      <x:c r="I174" s="25" t="str">
        <x:v>风险控制</x:v>
      </x:c>
      <x:c r="J174" s="25" t="str">
        <x:v>“发盘风险管理”可用于识别、预防或处理“汇率波动侵蚀利润”。</x:v>
      </x:c>
      <x:c r="K174" s="26" t="str">
        <x:v>Treats unhedged firm offers as a risk-management failure.</x:v>
      </x:c>
    </x:row>
    <x:row r="175">
      <x:c r="A175" s="24" t="n">
        <x:v>6</x:v>
      </x:c>
      <x:c r="B175" s="25" t="str">
        <x:v>S6</x:v>
      </x:c>
      <x:c r="C175" s="25" t="str">
        <x:v>付款与交付</x:v>
      </x:c>
      <x:c r="D175" s="25" t="str">
        <x:v>P6.03</x:v>
      </x:c>
      <x:c r="E175" s="25" t="str">
        <x:v>汇率波动侵蚀利润</x:v>
      </x:c>
      <x:c r="F175" s="25" t="str">
        <x:v>高</x:v>
      </x:c>
      <x:c r="G175" s="25" t="str">
        <x:v>K015</x:v>
      </x:c>
      <x:c r="H175" s="25" t="str">
        <x:v>发盘有效期</x:v>
      </x:c>
      <x:c r="I175" s="25" t="str">
        <x:v>法律规则</x:v>
      </x:c>
      <x:c r="J175" s="25" t="str">
        <x:v>“发盘有效期”可用于识别、预防或处理“汇率波动侵蚀利润”。</x:v>
      </x:c>
      <x:c r="K175" s="26" t="str">
        <x:v>Uses a short validity period as a cheap FX control.</x:v>
      </x:c>
    </x:row>
    <x:row r="176">
      <x:c r="A176" s="24" t="n">
        <x:v>6</x:v>
      </x:c>
      <x:c r="B176" s="25" t="str">
        <x:v>S6</x:v>
      </x:c>
      <x:c r="C176" s="25" t="str">
        <x:v>付款与交付</x:v>
      </x:c>
      <x:c r="D176" s="25" t="str">
        <x:v>P6.04</x:v>
      </x:c>
      <x:c r="E176" s="25" t="str">
        <x:v>T/T 余款拖延或信用被滥用</x:v>
      </x:c>
      <x:c r="F176" s="25" t="str">
        <x:v>高</x:v>
      </x:c>
      <x:c r="G176" s="25" t="str">
        <x:v>K067</x:v>
      </x:c>
      <x:c r="H176" s="25" t="str">
        <x:v>电汇（T/T）</x:v>
      </x:c>
      <x:c r="I176" s="25" t="str">
        <x:v>概念</x:v>
      </x:c>
      <x:c r="J176" s="25" t="str">
        <x:v>“电汇（T/T）”可用于识别、预防或处理“T/T 余款拖延或信用被滥用”。</x:v>
      </x:c>
      <x:c r="K176" s="26" t="str">
        <x:v>Defines T/T triggers so 'balance later' is not open-ended.</x:v>
      </x:c>
    </x:row>
    <x:row r="177">
      <x:c r="A177" s="24" t="n">
        <x:v>6</x:v>
      </x:c>
      <x:c r="B177" s="25" t="str">
        <x:v>S6</x:v>
      </x:c>
      <x:c r="C177" s="25" t="str">
        <x:v>付款与交付</x:v>
      </x:c>
      <x:c r="D177" s="25" t="str">
        <x:v>P6.04</x:v>
      </x:c>
      <x:c r="E177" s="25" t="str">
        <x:v>T/T 余款拖延或信用被滥用</x:v>
      </x:c>
      <x:c r="F177" s="25" t="str">
        <x:v>高</x:v>
      </x:c>
      <x:c r="G177" s="25" t="str">
        <x:v>K073</x:v>
      </x:c>
      <x:c r="H177" s="25" t="str">
        <x:v>预付款、融资与赊销</x:v>
      </x:c>
      <x:c r="I177" s="25" t="str">
        <x:v>策略</x:v>
      </x:c>
      <x:c r="J177" s="25" t="str">
        <x:v>运用“预付款、融资与赊销”应对“T/T 余款拖延或信用被滥用”，把原则转化为可执行的谈判行动。</x:v>
      </x:c>
      <x:c r="K177" s="26" t="str">
        <x:v>Prices credit and deposits; does not grant D/A as a favour.</x:v>
      </x:c>
    </x:row>
    <x:row r="178">
      <x:c r="A178" s="24" t="n">
        <x:v>6</x:v>
      </x:c>
      <x:c r="B178" s="25" t="str">
        <x:v>S6</x:v>
      </x:c>
      <x:c r="C178" s="25" t="str">
        <x:v>付款与交付</x:v>
      </x:c>
      <x:c r="D178" s="25" t="str">
        <x:v>P6.04</x:v>
      </x:c>
      <x:c r="E178" s="25" t="str">
        <x:v>T/T 余款拖延或信用被滥用</x:v>
      </x:c>
      <x:c r="F178" s="25" t="str">
        <x:v>高</x:v>
      </x:c>
      <x:c r="G178" s="25" t="str">
        <x:v>K077</x:v>
      </x:c>
      <x:c r="H178" s="25" t="str">
        <x:v>国际银行业务与托收技巧</x:v>
      </x:c>
      <x:c r="I178" s="25" t="str">
        <x:v>业务流程</x:v>
      </x:c>
      <x:c r="J178" s="25" t="str">
        <x:v>“国际银行业务与托收技巧”可用于识别、预防或处理“T/T 余款拖延或信用被滥用”。</x:v>
      </x:c>
      <x:c r="K178" s="26" t="str">
        <x:v>Collects with a document trail when the balance does not arrive.</x:v>
      </x:c>
    </x:row>
    <x:row r="179">
      <x:c r="A179" s="24" t="n">
        <x:v>6</x:v>
      </x:c>
      <x:c r="B179" s="25" t="str">
        <x:v>S6</x:v>
      </x:c>
      <x:c r="C179" s="25" t="str">
        <x:v>付款与交付</x:v>
      </x:c>
      <x:c r="D179" s="25" t="str">
        <x:v>P6.04</x:v>
      </x:c>
      <x:c r="E179" s="25" t="str">
        <x:v>T/T 余款拖延或信用被滥用</x:v>
      </x:c>
      <x:c r="F179" s="25" t="str">
        <x:v>高</x:v>
      </x:c>
      <x:c r="G179" s="25" t="str">
        <x:v>K068</x:v>
      </x:c>
      <x:c r="H179" s="25" t="str">
        <x:v>跟单托收（D/P、D/A）</x:v>
      </x:c>
      <x:c r="I179" s="25" t="str">
        <x:v>概念</x:v>
      </x:c>
      <x:c r="J179" s="25" t="str">
        <x:v>“跟单托收（D/P、D/A）”可用于识别、预防或处理“T/T 余款拖延或信用被滥用”。</x:v>
      </x:c>
      <x:c r="K179" s="26" t="str">
        <x:v>Avoids sliding from T/T into unsecured D/A by accident.</x:v>
      </x:c>
    </x:row>
    <x:row r="180">
      <x:c r="A180" s="24" t="n">
        <x:v>6</x:v>
      </x:c>
      <x:c r="B180" s="25" t="str">
        <x:v>S6</x:v>
      </x:c>
      <x:c r="C180" s="25" t="str">
        <x:v>付款与交付</x:v>
      </x:c>
      <x:c r="D180" s="25" t="str">
        <x:v>P6.04</x:v>
      </x:c>
      <x:c r="E180" s="25" t="str">
        <x:v>T/T 余款拖延或信用被滥用</x:v>
      </x:c>
      <x:c r="F180" s="25" t="str">
        <x:v>高</x:v>
      </x:c>
      <x:c r="G180" s="25" t="str">
        <x:v>K070</x:v>
      </x:c>
      <x:c r="H180" s="25" t="str">
        <x:v>付款方式比较与选择</x:v>
      </x:c>
      <x:c r="I180" s="25" t="str">
        <x:v>策略</x:v>
      </x:c>
      <x:c r="J180" s="25" t="str">
        <x:v>运用“付款方式比较与选择”应对“T/T 余款拖延或信用被滥用”，把原则转化为可执行的谈判行动。</x:v>
      </x:c>
      <x:c r="K180" s="26" t="str">
        <x:v>Re-selects the method after a missed payment.</x:v>
      </x:c>
    </x:row>
    <x:row r="181">
      <x:c r="A181" s="24" t="n">
        <x:v>6</x:v>
      </x:c>
      <x:c r="B181" s="25" t="str">
        <x:v>S6</x:v>
      </x:c>
      <x:c r="C181" s="25" t="str">
        <x:v>付款与交付</x:v>
      </x:c>
      <x:c r="D181" s="25" t="str">
        <x:v>P6.05</x:v>
      </x:c>
      <x:c r="E181" s="25" t="str">
        <x:v>交付迟延构成违约</x:v>
      </x:c>
      <x:c r="F181" s="25" t="str">
        <x:v>高</x:v>
      </x:c>
      <x:c r="G181" s="25" t="str">
        <x:v>K074</x:v>
      </x:c>
      <x:c r="H181" s="25" t="str">
        <x:v>交付迟延与合同违约</x:v>
      </x:c>
      <x:c r="I181" s="25" t="str">
        <x:v>法律规则</x:v>
      </x:c>
      <x:c r="J181" s="25" t="str">
        <x:v>“交付迟延与合同违约”可用于识别、预防或处理“交付迟延构成违约”。</x:v>
      </x:c>
      <x:c r="K181" s="26" t="str">
        <x:v>Applies Nachfrist, avoidance, and damages rules.</x:v>
      </x:c>
    </x:row>
    <x:row r="182">
      <x:c r="A182" s="24" t="n">
        <x:v>6</x:v>
      </x:c>
      <x:c r="B182" s="25" t="str">
        <x:v>S6</x:v>
      </x:c>
      <x:c r="C182" s="25" t="str">
        <x:v>付款与交付</x:v>
      </x:c>
      <x:c r="D182" s="25" t="str">
        <x:v>P6.05</x:v>
      </x:c>
      <x:c r="E182" s="25" t="str">
        <x:v>交付迟延构成违约</x:v>
      </x:c>
      <x:c r="F182" s="25" t="str">
        <x:v>高</x:v>
      </x:c>
      <x:c r="G182" s="25" t="str">
        <x:v>K071</x:v>
      </x:c>
      <x:c r="H182" s="25" t="str">
        <x:v>交付条件与验收标准</x:v>
      </x:c>
      <x:c r="I182" s="25" t="str">
        <x:v>法律规则</x:v>
      </x:c>
      <x:c r="J182" s="25" t="str">
        <x:v>“交付条件与验收标准”可用于识别、预防或处理“交付迟延构成违约”。</x:v>
      </x:c>
      <x:c r="K182" s="26" t="str">
        <x:v>Fixes what 'delivered' meant under the term.</x:v>
      </x:c>
    </x:row>
    <x:row r="183">
      <x:c r="A183" s="24" t="n">
        <x:v>6</x:v>
      </x:c>
      <x:c r="B183" s="25" t="str">
        <x:v>S6</x:v>
      </x:c>
      <x:c r="C183" s="25" t="str">
        <x:v>付款与交付</x:v>
      </x:c>
      <x:c r="D183" s="25" t="str">
        <x:v>P6.05</x:v>
      </x:c>
      <x:c r="E183" s="25" t="str">
        <x:v>交付迟延构成违约</x:v>
      </x:c>
      <x:c r="F183" s="25" t="str">
        <x:v>高</x:v>
      </x:c>
      <x:c r="G183" s="25" t="str">
        <x:v>K049</x:v>
      </x:c>
      <x:c r="H183" s="25" t="str">
        <x:v>订单交付日期跟踪</x:v>
      </x:c>
      <x:c r="I183" s="25" t="str">
        <x:v>业务流程</x:v>
      </x:c>
      <x:c r="J183" s="25" t="str">
        <x:v>“订单交付日期跟踪”可用于识别、预防或处理“交付迟延构成违约”。</x:v>
      </x:c>
      <x:c r="K183" s="26" t="str">
        <x:v>Shows the drift was (or was not) visible in the tracker.</x:v>
      </x:c>
    </x:row>
    <x:row r="184">
      <x:c r="A184" s="24" t="n">
        <x:v>6</x:v>
      </x:c>
      <x:c r="B184" s="25" t="str">
        <x:v>S6</x:v>
      </x:c>
      <x:c r="C184" s="25" t="str">
        <x:v>付款与交付</x:v>
      </x:c>
      <x:c r="D184" s="25" t="str">
        <x:v>P6.05</x:v>
      </x:c>
      <x:c r="E184" s="25" t="str">
        <x:v>交付迟延构成违约</x:v>
      </x:c>
      <x:c r="F184" s="25" t="str">
        <x:v>高</x:v>
      </x:c>
      <x:c r="G184" s="25" t="str">
        <x:v>K050</x:v>
      </x:c>
      <x:c r="H184" s="25" t="str">
        <x:v>合同免责条款</x:v>
      </x:c>
      <x:c r="I184" s="25" t="str">
        <x:v>法律规则</x:v>
      </x:c>
      <x:c r="J184" s="25" t="str">
        <x:v>“合同免责条款”可用于识别、预防或处理“交付迟延构成违约”。</x:v>
      </x:c>
      <x:c r="K184" s="26" t="str">
        <x:v>Tests whether an exemption clause actually covers this delay.</x:v>
      </x:c>
    </x:row>
    <x:row r="185">
      <x:c r="A185" s="24" t="n">
        <x:v>6</x:v>
      </x:c>
      <x:c r="B185" s="25" t="str">
        <x:v>S6</x:v>
      </x:c>
      <x:c r="C185" s="25" t="str">
        <x:v>付款与交付</x:v>
      </x:c>
      <x:c r="D185" s="25" t="str">
        <x:v>P6.05</x:v>
      </x:c>
      <x:c r="E185" s="25" t="str">
        <x:v>交付迟延构成违约</x:v>
      </x:c>
      <x:c r="F185" s="25" t="str">
        <x:v>高</x:v>
      </x:c>
      <x:c r="G185" s="25" t="str">
        <x:v>K114</x:v>
      </x:c>
      <x:c r="H185" s="25" t="str">
        <x:v>不可抗力条款与案例</x:v>
      </x:c>
      <x:c r="I185" s="25" t="str">
        <x:v>法律规则</x:v>
      </x:c>
      <x:c r="J185" s="25" t="str">
        <x:v>“不可抗力条款与案例”可用于识别、预防或处理“交付迟延构成违约”。</x:v>
      </x:c>
      <x:c r="K185" s="26" t="str">
        <x:v>Separates a true FM event from an ordinary late shipment.</x:v>
      </x:c>
    </x:row>
    <x:row r="186">
      <x:c r="A186" s="24" t="n">
        <x:v>6</x:v>
      </x:c>
      <x:c r="B186" s="25" t="str">
        <x:v>S6</x:v>
      </x:c>
      <x:c r="C186" s="25" t="str">
        <x:v>付款与交付</x:v>
      </x:c>
      <x:c r="D186" s="25" t="str">
        <x:v>P6.06</x:v>
      </x:c>
      <x:c r="E186" s="25" t="str">
        <x:v>交付验收标准争议</x:v>
      </x:c>
      <x:c r="F186" s="25" t="str">
        <x:v>中</x:v>
      </x:c>
      <x:c r="G186" s="25" t="str">
        <x:v>K071</x:v>
      </x:c>
      <x:c r="H186" s="25" t="str">
        <x:v>交付条件与验收标准</x:v>
      </x:c>
      <x:c r="I186" s="25" t="str">
        <x:v>法律规则</x:v>
      </x:c>
      <x:c r="J186" s="25" t="str">
        <x:v>“交付条件与验收标准”可用于识别、预防或处理“交付验收标准争议”。</x:v>
      </x:c>
      <x:c r="K186" s="26" t="str">
        <x:v>Writes delivery and acceptance evidence into the contract.</x:v>
      </x:c>
    </x:row>
    <x:row r="187">
      <x:c r="A187" s="24" t="n">
        <x:v>6</x:v>
      </x:c>
      <x:c r="B187" s="25" t="str">
        <x:v>S6</x:v>
      </x:c>
      <x:c r="C187" s="25" t="str">
        <x:v>付款与交付</x:v>
      </x:c>
      <x:c r="D187" s="25" t="str">
        <x:v>P6.06</x:v>
      </x:c>
      <x:c r="E187" s="25" t="str">
        <x:v>交付验收标准争议</x:v>
      </x:c>
      <x:c r="F187" s="25" t="str">
        <x:v>中</x:v>
      </x:c>
      <x:c r="G187" s="25" t="str">
        <x:v>K048</x:v>
      </x:c>
      <x:c r="H187" s="25" t="str">
        <x:v>订单执行与履约监控</x:v>
      </x:c>
      <x:c r="I187" s="25" t="str">
        <x:v>业务流程</x:v>
      </x:c>
      <x:c r="J187" s="25" t="str">
        <x:v>“订单执行与履约监控”可用于识别、预防或处理“交付验收标准争议”。</x:v>
      </x:c>
      <x:c r="K187" s="26" t="str">
        <x:v>Monitors the acceptance event as a performance milestone.</x:v>
      </x:c>
    </x:row>
    <x:row r="188">
      <x:c r="A188" s="24" t="n">
        <x:v>6</x:v>
      </x:c>
      <x:c r="B188" s="25" t="str">
        <x:v>S6</x:v>
      </x:c>
      <x:c r="C188" s="25" t="str">
        <x:v>付款与交付</x:v>
      </x:c>
      <x:c r="D188" s="25" t="str">
        <x:v>P6.06</x:v>
      </x:c>
      <x:c r="E188" s="25" t="str">
        <x:v>交付验收标准争议</x:v>
      </x:c>
      <x:c r="F188" s="25" t="str">
        <x:v>中</x:v>
      </x:c>
      <x:c r="G188" s="25" t="str">
        <x:v>K081</x:v>
      </x:c>
      <x:c r="H188" s="25" t="str">
        <x:v>检验地点与时间</x:v>
      </x:c>
      <x:c r="I188" s="25" t="str">
        <x:v>法律规则</x:v>
      </x:c>
      <x:c r="J188" s="25" t="str">
        <x:v>“检验地点与时间”可用于识别、预防或处理“交付验收标准争议”。</x:v>
      </x:c>
      <x:c r="K188" s="26" t="str">
        <x:v>Aligns inspection place with the delivery point.</x:v>
      </x:c>
    </x:row>
    <x:row r="189">
      <x:c r="A189" s="24" t="n">
        <x:v>6</x:v>
      </x:c>
      <x:c r="B189" s="25" t="str">
        <x:v>S6</x:v>
      </x:c>
      <x:c r="C189" s="25" t="str">
        <x:v>付款与交付</x:v>
      </x:c>
      <x:c r="D189" s="25" t="str">
        <x:v>P6.06</x:v>
      </x:c>
      <x:c r="E189" s="25" t="str">
        <x:v>交付验收标准争议</x:v>
      </x:c>
      <x:c r="F189" s="25" t="str">
        <x:v>中</x:v>
      </x:c>
      <x:c r="G189" s="25" t="str">
        <x:v>K016</x:v>
      </x:c>
      <x:c r="H189" s="25" t="str">
        <x:v>FOB 条件</x:v>
      </x:c>
      <x:c r="I189" s="25" t="str">
        <x:v>法律规则</x:v>
      </x:c>
      <x:c r="J189" s="25" t="str">
        <x:v>“FOB 条件”可用于识别、预防或处理“交付验收标准争议”。</x:v>
      </x:c>
      <x:c r="K189" s="26" t="str">
        <x:v>Under FOB, stops the buyer treating on-board as 'not yet delivered'.</x:v>
      </x:c>
    </x:row>
    <x:row r="190">
      <x:c r="A190" s="24" t="n">
        <x:v>6</x:v>
      </x:c>
      <x:c r="B190" s="25" t="str">
        <x:v>S6</x:v>
      </x:c>
      <x:c r="C190" s="25" t="str">
        <x:v>付款与交付</x:v>
      </x:c>
      <x:c r="D190" s="25" t="str">
        <x:v>P6.06</x:v>
      </x:c>
      <x:c r="E190" s="25" t="str">
        <x:v>交付验收标准争议</x:v>
      </x:c>
      <x:c r="F190" s="25" t="str">
        <x:v>中</x:v>
      </x:c>
      <x:c r="G190" s="25" t="str">
        <x:v>K017</x:v>
      </x:c>
      <x:c r="H190" s="25" t="str">
        <x:v>CIF 条件</x:v>
      </x:c>
      <x:c r="I190" s="25" t="str">
        <x:v>法律规则</x:v>
      </x:c>
      <x:c r="J190" s="25" t="str">
        <x:v>“CIF 条件”可用于识别、预防或处理“交付验收标准争议”。</x:v>
      </x:c>
      <x:c r="K190" s="26" t="str">
        <x:v>Under CIF, stops the buyer treating arrival as the delivery point.</x:v>
      </x:c>
    </x:row>
    <x:row r="191">
      <x:c r="A191" s="24" t="n">
        <x:v>6</x:v>
      </x:c>
      <x:c r="B191" s="25" t="str">
        <x:v>S6</x:v>
      </x:c>
      <x:c r="C191" s="25" t="str">
        <x:v>付款与交付</x:v>
      </x:c>
      <x:c r="D191" s="25" t="str">
        <x:v>P6.07</x:v>
      </x:c>
      <x:c r="E191" s="25" t="str">
        <x:v>混合付款方案设计不当</x:v>
      </x:c>
      <x:c r="F191" s="25" t="str">
        <x:v>中</x:v>
      </x:c>
      <x:c r="G191" s="25" t="str">
        <x:v>K076</x:v>
      </x:c>
      <x:c r="H191" s="25" t="str">
        <x:v>混合与综合付款方式</x:v>
      </x:c>
      <x:c r="I191" s="25" t="str">
        <x:v>策略</x:v>
      </x:c>
      <x:c r="J191" s="25" t="str">
        <x:v>运用“混合与综合付款方式”应对“混合付款方案设计不当”，把原则转化为可执行的谈判行动。</x:v>
      </x:c>
      <x:c r="K191" s="26" t="str">
        <x:v>Designs triggers, documents, and FX for each slice of the hybrid.</x:v>
      </x:c>
    </x:row>
    <x:row r="192">
      <x:c r="A192" s="24" t="n">
        <x:v>6</x:v>
      </x:c>
      <x:c r="B192" s="25" t="str">
        <x:v>S6</x:v>
      </x:c>
      <x:c r="C192" s="25" t="str">
        <x:v>付款与交付</x:v>
      </x:c>
      <x:c r="D192" s="25" t="str">
        <x:v>P6.07</x:v>
      </x:c>
      <x:c r="E192" s="25" t="str">
        <x:v>混合付款方案设计不当</x:v>
      </x:c>
      <x:c r="F192" s="25" t="str">
        <x:v>中</x:v>
      </x:c>
      <x:c r="G192" s="25" t="str">
        <x:v>K070</x:v>
      </x:c>
      <x:c r="H192" s="25" t="str">
        <x:v>付款方式比较与选择</x:v>
      </x:c>
      <x:c r="I192" s="25" t="str">
        <x:v>策略</x:v>
      </x:c>
      <x:c r="J192" s="25" t="str">
        <x:v>运用“付款方式比较与选择”应对“混合付款方案设计不当”，把原则转化为可执行的谈判行动。</x:v>
      </x:c>
      <x:c r="K192" s="26" t="str">
        <x:v>Checks the hybrid is still the right mix of risk and cost.</x:v>
      </x:c>
    </x:row>
    <x:row r="193">
      <x:c r="A193" s="24" t="n">
        <x:v>6</x:v>
      </x:c>
      <x:c r="B193" s="25" t="str">
        <x:v>S6</x:v>
      </x:c>
      <x:c r="C193" s="25" t="str">
        <x:v>付款与交付</x:v>
      </x:c>
      <x:c r="D193" s="25" t="str">
        <x:v>P6.07</x:v>
      </x:c>
      <x:c r="E193" s="25" t="str">
        <x:v>混合付款方案设计不当</x:v>
      </x:c>
      <x:c r="F193" s="25" t="str">
        <x:v>中</x:v>
      </x:c>
      <x:c r="G193" s="25" t="str">
        <x:v>K073</x:v>
      </x:c>
      <x:c r="H193" s="25" t="str">
        <x:v>预付款、融资与赊销</x:v>
      </x:c>
      <x:c r="I193" s="25" t="str">
        <x:v>策略</x:v>
      </x:c>
      <x:c r="J193" s="25" t="str">
        <x:v>运用“预付款、融资与赊销”应对“混合付款方案设计不当”，把原则转化为可执行的谈判行动。</x:v>
      </x:c>
      <x:c r="K193" s="26" t="str">
        <x:v>Funds the production slice without giving away the credit slice.</x:v>
      </x:c>
    </x:row>
    <x:row r="194">
      <x:c r="A194" s="24" t="n">
        <x:v>6</x:v>
      </x:c>
      <x:c r="B194" s="25" t="str">
        <x:v>S6</x:v>
      </x:c>
      <x:c r="C194" s="25" t="str">
        <x:v>付款与交付</x:v>
      </x:c>
      <x:c r="D194" s="25" t="str">
        <x:v>P6.07</x:v>
      </x:c>
      <x:c r="E194" s="25" t="str">
        <x:v>混合付款方案设计不当</x:v>
      </x:c>
      <x:c r="F194" s="25" t="str">
        <x:v>中</x:v>
      </x:c>
      <x:c r="G194" s="25" t="str">
        <x:v>K069</x:v>
      </x:c>
      <x:c r="H194" s="25" t="str">
        <x:v>付款方式僵局处理</x:v>
      </x:c>
      <x:c r="I194" s="25" t="str">
        <x:v>策略</x:v>
      </x:c>
      <x:c r="J194" s="25" t="str">
        <x:v>运用“付款方式僵局处理”应对“混合付款方案设计不当”，把原则转化为可执行的谈判行动。</x:v>
      </x:c>
      <x:c r="K194" s="26" t="str">
        <x:v>Uses the hybrid as a deadlock-breaker, not as a vague compromise.</x:v>
      </x:c>
    </x:row>
    <x:row r="195">
      <x:c r="A195" s="24" t="n">
        <x:v>6</x:v>
      </x:c>
      <x:c r="B195" s="25" t="str">
        <x:v>S6</x:v>
      </x:c>
      <x:c r="C195" s="25" t="str">
        <x:v>付款与交付</x:v>
      </x:c>
      <x:c r="D195" s="25" t="str">
        <x:v>P6.07</x:v>
      </x:c>
      <x:c r="E195" s="25" t="str">
        <x:v>混合付款方案设计不当</x:v>
      </x:c>
      <x:c r="F195" s="25" t="str">
        <x:v>中</x:v>
      </x:c>
      <x:c r="G195" s="25" t="str">
        <x:v>K066</x:v>
      </x:c>
      <x:c r="H195" s="25" t="str">
        <x:v>信用证的开立、条款与解释</x:v>
      </x:c>
      <x:c r="I195" s="25" t="str">
        <x:v>法律规则</x:v>
      </x:c>
      <x:c r="J195" s="25" t="str">
        <x:v>“信用证的开立、条款与解释”可用于识别、预防或处理“混合付款方案设计不当”。</x:v>
      </x:c>
      <x:c r="K195" s="26" t="str">
        <x:v>Makes the L/C slice issuable and checkable on its own.</x:v>
      </x:c>
    </x:row>
    <x:row r="196">
      <x:c r="A196" s="24" t="n">
        <x:v>7</x:v>
      </x:c>
      <x:c r="B196" s="25" t="str">
        <x:v>S7</x:v>
      </x:c>
      <x:c r="C196" s="25" t="str">
        <x:v>商品检验</x:v>
      </x:c>
      <x:c r="D196" s="25" t="str">
        <x:v>P7.01</x:v>
      </x:c>
      <x:c r="E196" s="25" t="str">
        <x:v>检验地点与时间争议</x:v>
      </x:c>
      <x:c r="F196" s="25" t="str">
        <x:v>高</x:v>
      </x:c>
      <x:c r="G196" s="25" t="str">
        <x:v>K078</x:v>
      </x:c>
      <x:c r="H196" s="25" t="str">
        <x:v>商品检验的定义</x:v>
      </x:c>
      <x:c r="I196" s="25" t="str">
        <x:v>概念</x:v>
      </x:c>
      <x:c r="J196" s="25" t="str">
        <x:v>“商品检验的定义”可用于识别、预防或处理“检验地点与时间争议”。</x:v>
      </x:c>
      <x:c r="K196" s="26" t="str">
        <x:v>Starts from what inspection is, so place and time have a purpose.</x:v>
      </x:c>
    </x:row>
    <x:row r="197">
      <x:c r="A197" s="24" t="n">
        <x:v>7</x:v>
      </x:c>
      <x:c r="B197" s="25" t="str">
        <x:v>S7</x:v>
      </x:c>
      <x:c r="C197" s="25" t="str">
        <x:v>商品检验</x:v>
      </x:c>
      <x:c r="D197" s="25" t="str">
        <x:v>P7.01</x:v>
      </x:c>
      <x:c r="E197" s="25" t="str">
        <x:v>检验地点与时间争议</x:v>
      </x:c>
      <x:c r="F197" s="25" t="str">
        <x:v>高</x:v>
      </x:c>
      <x:c r="G197" s="25" t="str">
        <x:v>K081</x:v>
      </x:c>
      <x:c r="H197" s="25" t="str">
        <x:v>检验地点与时间</x:v>
      </x:c>
      <x:c r="I197" s="25" t="str">
        <x:v>法律规则</x:v>
      </x:c>
      <x:c r="J197" s="25" t="str">
        <x:v>“检验地点与时间”可用于识别、预防或处理“检验地点与时间争议”。</x:v>
      </x:c>
      <x:c r="K197" s="26" t="str">
        <x:v>Writes origin vs destination, and the number of days, into the clause.</x:v>
      </x:c>
    </x:row>
    <x:row r="198">
      <x:c r="A198" s="24" t="n">
        <x:v>7</x:v>
      </x:c>
      <x:c r="B198" s="25" t="str">
        <x:v>S7</x:v>
      </x:c>
      <x:c r="C198" s="25" t="str">
        <x:v>商品检验</x:v>
      </x:c>
      <x:c r="D198" s="25" t="str">
        <x:v>P7.01</x:v>
      </x:c>
      <x:c r="E198" s="25" t="str">
        <x:v>检验地点与时间争议</x:v>
      </x:c>
      <x:c r="F198" s="25" t="str">
        <x:v>高</x:v>
      </x:c>
      <x:c r="G198" s="25" t="str">
        <x:v>K079</x:v>
      </x:c>
      <x:c r="H198" s="25" t="str">
        <x:v>商品检验流程</x:v>
      </x:c>
      <x:c r="I198" s="25" t="str">
        <x:v>业务流程</x:v>
      </x:c>
      <x:c r="J198" s="25" t="str">
        <x:v>“商品检验流程”可用于识别、预防或处理“检验地点与时间争议”。</x:v>
      </x:c>
      <x:c r="K198" s="26" t="str">
        <x:v>Books the agency against that place and time.</x:v>
      </x:c>
    </x:row>
    <x:row r="199">
      <x:c r="A199" s="24" t="n">
        <x:v>7</x:v>
      </x:c>
      <x:c r="B199" s="25" t="str">
        <x:v>S7</x:v>
      </x:c>
      <x:c r="C199" s="25" t="str">
        <x:v>商品检验</x:v>
      </x:c>
      <x:c r="D199" s="25" t="str">
        <x:v>P7.01</x:v>
      </x:c>
      <x:c r="E199" s="25" t="str">
        <x:v>检验地点与时间争议</x:v>
      </x:c>
      <x:c r="F199" s="25" t="str">
        <x:v>高</x:v>
      </x:c>
      <x:c r="G199" s="25" t="str">
        <x:v>K016</x:v>
      </x:c>
      <x:c r="H199" s="25" t="str">
        <x:v>FOB 条件</x:v>
      </x:c>
      <x:c r="I199" s="25" t="str">
        <x:v>法律规则</x:v>
      </x:c>
      <x:c r="J199" s="25" t="str">
        <x:v>“FOB 条件”可用于识别、预防或处理“检验地点与时间争议”。</x:v>
      </x:c>
      <x:c r="K199" s="26" t="str">
        <x:v>Aligns FOB delivery with origin inspection where that is the deal.</x:v>
      </x:c>
    </x:row>
    <x:row r="200">
      <x:c r="A200" s="24" t="n">
        <x:v>7</x:v>
      </x:c>
      <x:c r="B200" s="25" t="str">
        <x:v>S7</x:v>
      </x:c>
      <x:c r="C200" s="25" t="str">
        <x:v>商品检验</x:v>
      </x:c>
      <x:c r="D200" s="25" t="str">
        <x:v>P7.01</x:v>
      </x:c>
      <x:c r="E200" s="25" t="str">
        <x:v>检验地点与时间争议</x:v>
      </x:c>
      <x:c r="F200" s="25" t="str">
        <x:v>高</x:v>
      </x:c>
      <x:c r="G200" s="25" t="str">
        <x:v>K017</x:v>
      </x:c>
      <x:c r="H200" s="25" t="str">
        <x:v>CIF 条件</x:v>
      </x:c>
      <x:c r="I200" s="25" t="str">
        <x:v>法律规则</x:v>
      </x:c>
      <x:c r="J200" s="25" t="str">
        <x:v>“CIF 条件”可用于识别、预防或处理“检验地点与时间争议”。</x:v>
      </x:c>
      <x:c r="K200" s="26" t="str">
        <x:v>Aligns CIF risk-pass with who must inspect when.</x:v>
      </x:c>
    </x:row>
    <x:row r="201">
      <x:c r="A201" s="24" t="n">
        <x:v>7</x:v>
      </x:c>
      <x:c r="B201" s="25" t="str">
        <x:v>S7</x:v>
      </x:c>
      <x:c r="C201" s="25" t="str">
        <x:v>商品检验</x:v>
      </x:c>
      <x:c r="D201" s="25" t="str">
        <x:v>P7.01</x:v>
      </x:c>
      <x:c r="E201" s="25" t="str">
        <x:v>检验地点与时间争议</x:v>
      </x:c>
      <x:c r="F201" s="25" t="str">
        <x:v>高</x:v>
      </x:c>
      <x:c r="G201" s="25" t="str">
        <x:v>K047</x:v>
      </x:c>
      <x:c r="H201" s="25" t="str">
        <x:v>买卖合同的成立与条款</x:v>
      </x:c>
      <x:c r="I201" s="25" t="str">
        <x:v>法律规则</x:v>
      </x:c>
      <x:c r="J201" s="25" t="str">
        <x:v>“买卖合同的成立与条款”可用于识别、预防或处理“检验地点与时间争议”。</x:v>
      </x:c>
      <x:c r="K201" s="26" t="str">
        <x:v>Puts the inspection clause among the contract terms, not in an email.</x:v>
      </x:c>
    </x:row>
    <x:row r="202">
      <x:c r="A202" s="24" t="n">
        <x:v>7</x:v>
      </x:c>
      <x:c r="B202" s="25" t="str">
        <x:v>S7</x:v>
      </x:c>
      <x:c r="C202" s="25" t="str">
        <x:v>商品检验</x:v>
      </x:c>
      <x:c r="D202" s="25" t="str">
        <x:v>P7.02</x:v>
      </x:c>
      <x:c r="E202" s="25" t="str">
        <x:v>检验标准相互冲突</x:v>
      </x:c>
      <x:c r="F202" s="25" t="str">
        <x:v>高</x:v>
      </x:c>
      <x:c r="G202" s="25" t="str">
        <x:v>K080</x:v>
      </x:c>
      <x:c r="H202" s="25" t="str">
        <x:v>检验标准、方法与抽样</x:v>
      </x:c>
      <x:c r="I202" s="25" t="str">
        <x:v>业务流程</x:v>
      </x:c>
      <x:c r="J202" s="25" t="str">
        <x:v>“检验标准、方法与抽样”可用于识别、预防或处理“检验标准相互冲突”。</x:v>
      </x:c>
      <x:c r="K202" s="26" t="str">
        <x:v>Names one standard, method, and sampling plan as governing.</x:v>
      </x:c>
    </x:row>
    <x:row r="203">
      <x:c r="A203" s="24" t="n">
        <x:v>7</x:v>
      </x:c>
      <x:c r="B203" s="25" t="str">
        <x:v>S7</x:v>
      </x:c>
      <x:c r="C203" s="25" t="str">
        <x:v>商品检验</x:v>
      </x:c>
      <x:c r="D203" s="25" t="str">
        <x:v>P7.02</x:v>
      </x:c>
      <x:c r="E203" s="25" t="str">
        <x:v>检验标准相互冲突</x:v>
      </x:c>
      <x:c r="F203" s="25" t="str">
        <x:v>高</x:v>
      </x:c>
      <x:c r="G203" s="25" t="str">
        <x:v>K088</x:v>
      </x:c>
      <x:c r="H203" s="25" t="str">
        <x:v>商品检验法规与质量控制</x:v>
      </x:c>
      <x:c r="I203" s="25" t="str">
        <x:v>法律规则</x:v>
      </x:c>
      <x:c r="J203" s="25" t="str">
        <x:v>“商品检验法规与质量控制”可用于识别、预防或处理“检验标准相互冲突”。</x:v>
      </x:c>
      <x:c r="K203" s="26" t="str">
        <x:v>Reconciles statutory vs contractual standards.</x:v>
      </x:c>
    </x:row>
    <x:row r="204">
      <x:c r="A204" s="24" t="n">
        <x:v>7</x:v>
      </x:c>
      <x:c r="B204" s="25" t="str">
        <x:v>S7</x:v>
      </x:c>
      <x:c r="C204" s="25" t="str">
        <x:v>商品检验</x:v>
      </x:c>
      <x:c r="D204" s="25" t="str">
        <x:v>P7.02</x:v>
      </x:c>
      <x:c r="E204" s="25" t="str">
        <x:v>检验标准相互冲突</x:v>
      </x:c>
      <x:c r="F204" s="25" t="str">
        <x:v>高</x:v>
      </x:c>
      <x:c r="G204" s="25" t="str">
        <x:v>K084</x:v>
      </x:c>
      <x:c r="H204" s="25" t="str">
        <x:v>商品检验的跨文化差异</x:v>
      </x:c>
      <x:c r="I204" s="25" t="str">
        <x:v>跨文化</x:v>
      </x:c>
      <x:c r="J204" s="25" t="str">
        <x:v>“商品检验的跨文化差异”可用于识别、预防或处理“检验标准相互冲突”。</x:v>
      </x:c>
      <x:c r="K204" s="26" t="str">
        <x:v>Negotiates tolerance instead of assuming 'commercial difference'.</x:v>
      </x:c>
    </x:row>
    <x:row r="205">
      <x:c r="A205" s="24" t="n">
        <x:v>7</x:v>
      </x:c>
      <x:c r="B205" s="25" t="str">
        <x:v>S7</x:v>
      </x:c>
      <x:c r="C205" s="25" t="str">
        <x:v>商品检验</x:v>
      </x:c>
      <x:c r="D205" s="25" t="str">
        <x:v>P7.02</x:v>
      </x:c>
      <x:c r="E205" s="25" t="str">
        <x:v>检验标准相互冲突</x:v>
      </x:c>
      <x:c r="F205" s="25" t="str">
        <x:v>高</x:v>
      </x:c>
      <x:c r="G205" s="25" t="str">
        <x:v>K085</x:v>
      </x:c>
      <x:c r="H205" s="25" t="str">
        <x:v>检验机构选择标准</x:v>
      </x:c>
      <x:c r="I205" s="25" t="str">
        <x:v>策略</x:v>
      </x:c>
      <x:c r="J205" s="25" t="str">
        <x:v>运用“检验机构选择标准”应对“检验标准相互冲突”，把原则转化为可执行的谈判行动。</x:v>
      </x:c>
      <x:c r="K205" s="26" t="str">
        <x:v>Picks an agency both sides will recognise.</x:v>
      </x:c>
    </x:row>
    <x:row r="206">
      <x:c r="A206" s="24" t="n">
        <x:v>7</x:v>
      </x:c>
      <x:c r="B206" s="25" t="str">
        <x:v>S7</x:v>
      </x:c>
      <x:c r="C206" s="25" t="str">
        <x:v>商品检验</x:v>
      </x:c>
      <x:c r="D206" s="25" t="str">
        <x:v>P7.03</x:v>
      </x:c>
      <x:c r="E206" s="25" t="str">
        <x:v>证书不符阻碍付款</x:v>
      </x:c>
      <x:c r="F206" s="25" t="str">
        <x:v>高</x:v>
      </x:c>
      <x:c r="G206" s="25" t="str">
        <x:v>K082</x:v>
      </x:c>
      <x:c r="H206" s="25" t="str">
        <x:v>检验证书与单据</x:v>
      </x:c>
      <x:c r="I206" s="25" t="str">
        <x:v>业务流程</x:v>
      </x:c>
      <x:c r="J206" s="25" t="str">
        <x:v>“检验证书与单据”可用于识别、预防或处理“证书不符阻碍付款”。</x:v>
      </x:c>
      <x:c r="K206" s="26" t="str">
        <x:v>Matches certificate fields to L/C, invoice, and packing list.</x:v>
      </x:c>
    </x:row>
    <x:row r="207">
      <x:c r="A207" s="24" t="n">
        <x:v>7</x:v>
      </x:c>
      <x:c r="B207" s="25" t="str">
        <x:v>S7</x:v>
      </x:c>
      <x:c r="C207" s="25" t="str">
        <x:v>商品检验</x:v>
      </x:c>
      <x:c r="D207" s="25" t="str">
        <x:v>P7.03</x:v>
      </x:c>
      <x:c r="E207" s="25" t="str">
        <x:v>证书不符阻碍付款</x:v>
      </x:c>
      <x:c r="F207" s="25" t="str">
        <x:v>高</x:v>
      </x:c>
      <x:c r="G207" s="25" t="str">
        <x:v>K066</x:v>
      </x:c>
      <x:c r="H207" s="25" t="str">
        <x:v>信用证的开立、条款与解释</x:v>
      </x:c>
      <x:c r="I207" s="25" t="str">
        <x:v>法律规则</x:v>
      </x:c>
      <x:c r="J207" s="25" t="str">
        <x:v>“信用证的开立、条款与解释”可用于识别、预防或处理“证书不符阻碍付款”。</x:v>
      </x:c>
      <x:c r="K207" s="26" t="str">
        <x:v>Treats a certificate typo as an L/C discrepancy.</x:v>
      </x:c>
    </x:row>
    <x:row r="208">
      <x:c r="A208" s="24" t="n">
        <x:v>7</x:v>
      </x:c>
      <x:c r="B208" s="25" t="str">
        <x:v>S7</x:v>
      </x:c>
      <x:c r="C208" s="25" t="str">
        <x:v>商品检验</x:v>
      </x:c>
      <x:c r="D208" s="25" t="str">
        <x:v>P7.03</x:v>
      </x:c>
      <x:c r="E208" s="25" t="str">
        <x:v>证书不符阻碍付款</x:v>
      </x:c>
      <x:c r="F208" s="25" t="str">
        <x:v>高</x:v>
      </x:c>
      <x:c r="G208" s="25" t="str">
        <x:v>K083</x:v>
      </x:c>
      <x:c r="H208" s="25" t="str">
        <x:v>检验争议与复验处理</x:v>
      </x:c>
      <x:c r="I208" s="25" t="str">
        <x:v>业务流程</x:v>
      </x:c>
      <x:c r="J208" s="25" t="str">
        <x:v>“检验争议与复验处理”可用于识别、预防或处理“证书不符阻碍付款”。</x:v>
      </x:c>
      <x:c r="K208" s="26" t="str">
        <x:v>Uses re-issuance or a joint survey rather than arguing with the bank.</x:v>
      </x:c>
    </x:row>
    <x:row r="209">
      <x:c r="A209" s="24" t="n">
        <x:v>7</x:v>
      </x:c>
      <x:c r="B209" s="25" t="str">
        <x:v>S7</x:v>
      </x:c>
      <x:c r="C209" s="25" t="str">
        <x:v>商品检验</x:v>
      </x:c>
      <x:c r="D209" s="25" t="str">
        <x:v>P7.03</x:v>
      </x:c>
      <x:c r="E209" s="25" t="str">
        <x:v>证书不符阻碍付款</x:v>
      </x:c>
      <x:c r="F209" s="25" t="str">
        <x:v>高</x:v>
      </x:c>
      <x:c r="G209" s="25" t="str">
        <x:v>K077</x:v>
      </x:c>
      <x:c r="H209" s="25" t="str">
        <x:v>国际银行业务与托收技巧</x:v>
      </x:c>
      <x:c r="I209" s="25" t="str">
        <x:v>业务流程</x:v>
      </x:c>
      <x:c r="J209" s="25" t="str">
        <x:v>“国际银行业务与托收技巧”可用于识别、预防或处理“证书不符阻碍付款”。</x:v>
      </x:c>
      <x:c r="K209" s="26" t="str">
        <x:v>Presents a clean set or obtains a waiver.</x:v>
      </x:c>
    </x:row>
    <x:row r="210">
      <x:c r="A210" s="24" t="n">
        <x:v>7</x:v>
      </x:c>
      <x:c r="B210" s="25" t="str">
        <x:v>S7</x:v>
      </x:c>
      <x:c r="C210" s="25" t="str">
        <x:v>商品检验</x:v>
      </x:c>
      <x:c r="D210" s="25" t="str">
        <x:v>P7.04</x:v>
      </x:c>
      <x:c r="E210" s="25" t="str">
        <x:v>检验费用承担争议</x:v>
      </x:c>
      <x:c r="F210" s="25" t="str">
        <x:v>低</x:v>
      </x:c>
      <x:c r="G210" s="25" t="str">
        <x:v>K086</x:v>
      </x:c>
      <x:c r="H210" s="25" t="str">
        <x:v>检验费用及其分配</x:v>
      </x:c>
      <x:c r="I210" s="25" t="str">
        <x:v>法律规则</x:v>
      </x:c>
      <x:c r="J210" s="25" t="str">
        <x:v>“检验费用及其分配”可用于识别、预防或处理“检验费用承担争议”。</x:v>
      </x:c>
      <x:c r="K210" s="26" t="str">
        <x:v>Allocates first inspection and re-inspection costs in the contract.</x:v>
      </x:c>
    </x:row>
    <x:row r="211">
      <x:c r="A211" s="24" t="n">
        <x:v>7</x:v>
      </x:c>
      <x:c r="B211" s="25" t="str">
        <x:v>S7</x:v>
      </x:c>
      <x:c r="C211" s="25" t="str">
        <x:v>商品检验</x:v>
      </x:c>
      <x:c r="D211" s="25" t="str">
        <x:v>P7.04</x:v>
      </x:c>
      <x:c r="E211" s="25" t="str">
        <x:v>检验费用承担争议</x:v>
      </x:c>
      <x:c r="F211" s="25" t="str">
        <x:v>低</x:v>
      </x:c>
      <x:c r="G211" s="25" t="str">
        <x:v>K047</x:v>
      </x:c>
      <x:c r="H211" s="25" t="str">
        <x:v>买卖合同的成立与条款</x:v>
      </x:c>
      <x:c r="I211" s="25" t="str">
        <x:v>法律规则</x:v>
      </x:c>
      <x:c r="J211" s="25" t="str">
        <x:v>“买卖合同的成立与条款”可用于识别、预防或处理“检验费用承担争议”。</x:v>
      </x:c>
      <x:c r="K211" s="26" t="str">
        <x:v>Makes the allocation a term, not a later goodwill talk.</x:v>
      </x:c>
    </x:row>
    <x:row r="212">
      <x:c r="A212" s="24" t="n">
        <x:v>7</x:v>
      </x:c>
      <x:c r="B212" s="25" t="str">
        <x:v>S7</x:v>
      </x:c>
      <x:c r="C212" s="25" t="str">
        <x:v>商品检验</x:v>
      </x:c>
      <x:c r="D212" s="25" t="str">
        <x:v>P7.04</x:v>
      </x:c>
      <x:c r="E212" s="25" t="str">
        <x:v>检验费用承担争议</x:v>
      </x:c>
      <x:c r="F212" s="25" t="str">
        <x:v>低</x:v>
      </x:c>
      <x:c r="G212" s="25" t="str">
        <x:v>K085</x:v>
      </x:c>
      <x:c r="H212" s="25" t="str">
        <x:v>检验机构选择标准</x:v>
      </x:c>
      <x:c r="I212" s="25" t="str">
        <x:v>策略</x:v>
      </x:c>
      <x:c r="J212" s="25" t="str">
        <x:v>运用“检验机构选择标准”应对“检验费用承担争议”，把原则转化为可执行的谈判行动。</x:v>
      </x:c>
      <x:c r="K212" s="26" t="str">
        <x:v>Chooses an agency whose fee the allocation can actually bear.</x:v>
      </x:c>
    </x:row>
    <x:row r="213">
      <x:c r="A213" s="24" t="n">
        <x:v>7</x:v>
      </x:c>
      <x:c r="B213" s="25" t="str">
        <x:v>S7</x:v>
      </x:c>
      <x:c r="C213" s="25" t="str">
        <x:v>商品检验</x:v>
      </x:c>
      <x:c r="D213" s="25" t="str">
        <x:v>P7.05</x:v>
      </x:c>
      <x:c r="E213" s="25" t="str">
        <x:v>产地检验合格但目的地不合格</x:v>
      </x:c>
      <x:c r="F213" s="25" t="str">
        <x:v>高</x:v>
      </x:c>
      <x:c r="G213" s="25" t="str">
        <x:v>K083</x:v>
      </x:c>
      <x:c r="H213" s="25" t="str">
        <x:v>检验争议与复验处理</x:v>
      </x:c>
      <x:c r="I213" s="25" t="str">
        <x:v>业务流程</x:v>
      </x:c>
      <x:c r="J213" s="25" t="str">
        <x:v>“检验争议与复验处理”可用于识别、预防或处理“产地检验合格但目的地不合格”。</x:v>
      </x:c>
      <x:c r="K213" s="26" t="str">
        <x:v>Opens the re-inspection and joint-survey path.</x:v>
      </x:c>
    </x:row>
    <x:row r="214">
      <x:c r="A214" s="24" t="n">
        <x:v>7</x:v>
      </x:c>
      <x:c r="B214" s="25" t="str">
        <x:v>S7</x:v>
      </x:c>
      <x:c r="C214" s="25" t="str">
        <x:v>商品检验</x:v>
      </x:c>
      <x:c r="D214" s="25" t="str">
        <x:v>P7.05</x:v>
      </x:c>
      <x:c r="E214" s="25" t="str">
        <x:v>产地检验合格但目的地不合格</x:v>
      </x:c>
      <x:c r="F214" s="25" t="str">
        <x:v>高</x:v>
      </x:c>
      <x:c r="G214" s="25" t="str">
        <x:v>K081</x:v>
      </x:c>
      <x:c r="H214" s="25" t="str">
        <x:v>检验地点与时间</x:v>
      </x:c>
      <x:c r="I214" s="25" t="str">
        <x:v>法律规则</x:v>
      </x:c>
      <x:c r="J214" s="25" t="str">
        <x:v>“检验地点与时间”可用于识别、预防或处理“产地检验合格但目的地不合格”。</x:v>
      </x:c>
      <x:c r="K214" s="26" t="str">
        <x:v>Asks which inspection was agreed to be final.</x:v>
      </x:c>
    </x:row>
    <x:row r="215">
      <x:c r="A215" s="24" t="n">
        <x:v>7</x:v>
      </x:c>
      <x:c r="B215" s="25" t="str">
        <x:v>S7</x:v>
      </x:c>
      <x:c r="C215" s="25" t="str">
        <x:v>商品检验</x:v>
      </x:c>
      <x:c r="D215" s="25" t="str">
        <x:v>P7.05</x:v>
      </x:c>
      <x:c r="E215" s="25" t="str">
        <x:v>产地检验合格但目的地不合格</x:v>
      </x:c>
      <x:c r="F215" s="25" t="str">
        <x:v>高</x:v>
      </x:c>
      <x:c r="G215" s="25" t="str">
        <x:v>K087</x:v>
      </x:c>
      <x:c r="H215" s="25" t="str">
        <x:v>检验与保险的关系</x:v>
      </x:c>
      <x:c r="I215" s="25" t="str">
        <x:v>概念</x:v>
      </x:c>
      <x:c r="J215" s="25" t="str">
        <x:v>“检验与保险的关系”可用于识别、预防或处理“产地检验合格但目的地不合格”。</x:v>
      </x:c>
      <x:c r="K215" s="26" t="str">
        <x:v>Splits transit damage (insurance) from original non-conformity.</x:v>
      </x:c>
    </x:row>
    <x:row r="216">
      <x:c r="A216" s="24" t="n">
        <x:v>7</x:v>
      </x:c>
      <x:c r="B216" s="25" t="str">
        <x:v>S7</x:v>
      </x:c>
      <x:c r="C216" s="25" t="str">
        <x:v>商品检验</x:v>
      </x:c>
      <x:c r="D216" s="25" t="str">
        <x:v>P7.05</x:v>
      </x:c>
      <x:c r="E216" s="25" t="str">
        <x:v>产地检验合格但目的地不合格</x:v>
      </x:c>
      <x:c r="F216" s="25" t="str">
        <x:v>高</x:v>
      </x:c>
      <x:c r="G216" s="25" t="str">
        <x:v>K093</x:v>
      </x:c>
      <x:c r="H216" s="25" t="str">
        <x:v>投保与保险索赔程序</x:v>
      </x:c>
      <x:c r="I216" s="25" t="str">
        <x:v>业务流程</x:v>
      </x:c>
      <x:c r="J216" s="25" t="str">
        <x:v>“投保与保险索赔程序”可用于识别、预防或处理“产地检验合格但目的地不合格”。</x:v>
      </x:c>
      <x:c r="K216" s="26" t="str">
        <x:v>Files an insurance claim if the fail is a transit peril.</x:v>
      </x:c>
    </x:row>
    <x:row r="217">
      <x:c r="A217" s="24" t="n">
        <x:v>7</x:v>
      </x:c>
      <x:c r="B217" s="25" t="str">
        <x:v>S7</x:v>
      </x:c>
      <x:c r="C217" s="25" t="str">
        <x:v>商品检验</x:v>
      </x:c>
      <x:c r="D217" s="25" t="str">
        <x:v>P7.05</x:v>
      </x:c>
      <x:c r="E217" s="25" t="str">
        <x:v>产地检验合格但目的地不合格</x:v>
      </x:c>
      <x:c r="F217" s="25" t="str">
        <x:v>高</x:v>
      </x:c>
      <x:c r="G217" s="25" t="str">
        <x:v>K112</x:v>
      </x:c>
      <x:c r="H217" s="25" t="str">
        <x:v>证据收集与证据链完整性</x:v>
      </x:c>
      <x:c r="I217" s="25" t="str">
        <x:v>业务流程</x:v>
      </x:c>
      <x:c r="J217" s="25" t="str">
        <x:v>“证据收集与证据链完整性”可用于识别、预防或处理“产地检验合格但目的地不合格”。</x:v>
      </x:c>
      <x:c r="K217" s="26" t="str">
        <x:v>Preserves the evidence chain between the two inspections.</x:v>
      </x:c>
    </x:row>
    <x:row r="218">
      <x:c r="A218" s="24" t="n">
        <x:v>7</x:v>
      </x:c>
      <x:c r="B218" s="25" t="str">
        <x:v>S7</x:v>
      </x:c>
      <x:c r="C218" s="25" t="str">
        <x:v>商品检验</x:v>
      </x:c>
      <x:c r="D218" s="25" t="str">
        <x:v>P7.06</x:v>
      </x:c>
      <x:c r="E218" s="25" t="str">
        <x:v>抽样方法争议</x:v>
      </x:c>
      <x:c r="F218" s="25" t="str">
        <x:v>中</x:v>
      </x:c>
      <x:c r="G218" s="25" t="str">
        <x:v>K080</x:v>
      </x:c>
      <x:c r="H218" s="25" t="str">
        <x:v>检验标准、方法与抽样</x:v>
      </x:c>
      <x:c r="I218" s="25" t="str">
        <x:v>业务流程</x:v>
      </x:c>
      <x:c r="J218" s="25" t="str">
        <x:v>“检验标准、方法与抽样”可用于识别、预防或处理“抽样方法争议”。</x:v>
      </x:c>
      <x:c r="K218" s="26" t="str">
        <x:v>Fixes AQL, lot, and sealed-sample rules in advance.</x:v>
      </x:c>
    </x:row>
    <x:row r="219">
      <x:c r="A219" s="24" t="n">
        <x:v>7</x:v>
      </x:c>
      <x:c r="B219" s="25" t="str">
        <x:v>S7</x:v>
      </x:c>
      <x:c r="C219" s="25" t="str">
        <x:v>商品检验</x:v>
      </x:c>
      <x:c r="D219" s="25" t="str">
        <x:v>P7.06</x:v>
      </x:c>
      <x:c r="E219" s="25" t="str">
        <x:v>抽样方法争议</x:v>
      </x:c>
      <x:c r="F219" s="25" t="str">
        <x:v>中</x:v>
      </x:c>
      <x:c r="G219" s="25" t="str">
        <x:v>K083</x:v>
      </x:c>
      <x:c r="H219" s="25" t="str">
        <x:v>检验争议与复验处理</x:v>
      </x:c>
      <x:c r="I219" s="25" t="str">
        <x:v>业务流程</x:v>
      </x:c>
      <x:c r="J219" s="25" t="str">
        <x:v>“检验争议与复验处理”可用于识别、预防或处理“抽样方法争议”。</x:v>
      </x:c>
      <x:c r="K219" s="26" t="str">
        <x:v>Re-samples under the contractual method rather than by argument.</x:v>
      </x:c>
    </x:row>
    <x:row r="220">
      <x:c r="A220" s="24" t="n">
        <x:v>7</x:v>
      </x:c>
      <x:c r="B220" s="25" t="str">
        <x:v>S7</x:v>
      </x:c>
      <x:c r="C220" s="25" t="str">
        <x:v>商品检验</x:v>
      </x:c>
      <x:c r="D220" s="25" t="str">
        <x:v>P7.06</x:v>
      </x:c>
      <x:c r="E220" s="25" t="str">
        <x:v>抽样方法争议</x:v>
      </x:c>
      <x:c r="F220" s="25" t="str">
        <x:v>中</x:v>
      </x:c>
      <x:c r="G220" s="25" t="str">
        <x:v>K084</x:v>
      </x:c>
      <x:c r="H220" s="25" t="str">
        <x:v>商品检验的跨文化差异</x:v>
      </x:c>
      <x:c r="I220" s="25" t="str">
        <x:v>跨文化</x:v>
      </x:c>
      <x:c r="J220" s="25" t="str">
        <x:v>“商品检验的跨文化差异”可用于识别、预防或处理“抽样方法争议”。</x:v>
      </x:c>
      <x:c r="K220" s="26" t="str">
        <x:v>Handles cultural gaps in what 'representative' means.</x:v>
      </x:c>
    </x:row>
    <x:row r="221">
      <x:c r="A221" s="24" t="n">
        <x:v>7</x:v>
      </x:c>
      <x:c r="B221" s="25" t="str">
        <x:v>S7</x:v>
      </x:c>
      <x:c r="C221" s="25" t="str">
        <x:v>商品检验</x:v>
      </x:c>
      <x:c r="D221" s="25" t="str">
        <x:v>P7.06</x:v>
      </x:c>
      <x:c r="E221" s="25" t="str">
        <x:v>抽样方法争议</x:v>
      </x:c>
      <x:c r="F221" s="25" t="str">
        <x:v>中</x:v>
      </x:c>
      <x:c r="G221" s="25" t="str">
        <x:v>K088</x:v>
      </x:c>
      <x:c r="H221" s="25" t="str">
        <x:v>商品检验法规与质量控制</x:v>
      </x:c>
      <x:c r="I221" s="25" t="str">
        <x:v>法律规则</x:v>
      </x:c>
      <x:c r="J221" s="25" t="str">
        <x:v>“商品检验法规与质量控制”可用于识别、预防或处理“抽样方法争议”。</x:v>
      </x:c>
      <x:c r="K221" s="26" t="str">
        <x:v>Checks whether a statutory sampling plan overrides the contract.</x:v>
      </x:c>
    </x:row>
    <x:row r="222">
      <x:c r="A222" s="24" t="n">
        <x:v>7</x:v>
      </x:c>
      <x:c r="B222" s="25" t="str">
        <x:v>S7</x:v>
      </x:c>
      <x:c r="C222" s="25" t="str">
        <x:v>商品检验</x:v>
      </x:c>
      <x:c r="D222" s="25" t="str">
        <x:v>P7.07</x:v>
      </x:c>
      <x:c r="E222" s="25" t="str">
        <x:v>多国认证或环保测试失败</x:v>
      </x:c>
      <x:c r="F222" s="25" t="str">
        <x:v>高</x:v>
      </x:c>
      <x:c r="G222" s="25" t="str">
        <x:v>K089</x:v>
      </x:c>
      <x:c r="H222" s="25" t="str">
        <x:v>多国检验、认证与环保测试</x:v>
      </x:c>
      <x:c r="I222" s="25" t="str">
        <x:v>业务流程</x:v>
      </x:c>
      <x:c r="J222" s="25" t="str">
        <x:v>“多国检验、认证与环保测试”可用于识别、预防或处理“多国认证或环保测试失败”。</x:v>
      </x:c>
      <x:c r="K222" s="26" t="str">
        <x:v>Plans multi-country and environmental tests on the critical path.</x:v>
      </x:c>
    </x:row>
    <x:row r="223">
      <x:c r="A223" s="24" t="n">
        <x:v>7</x:v>
      </x:c>
      <x:c r="B223" s="25" t="str">
        <x:v>S7</x:v>
      </x:c>
      <x:c r="C223" s="25" t="str">
        <x:v>商品检验</x:v>
      </x:c>
      <x:c r="D223" s="25" t="str">
        <x:v>P7.07</x:v>
      </x:c>
      <x:c r="E223" s="25" t="str">
        <x:v>多国认证或环保测试失败</x:v>
      </x:c>
      <x:c r="F223" s="25" t="str">
        <x:v>高</x:v>
      </x:c>
      <x:c r="G223" s="25" t="str">
        <x:v>K085</x:v>
      </x:c>
      <x:c r="H223" s="25" t="str">
        <x:v>检验机构选择标准</x:v>
      </x:c>
      <x:c r="I223" s="25" t="str">
        <x:v>策略</x:v>
      </x:c>
      <x:c r="J223" s="25" t="str">
        <x:v>运用“检验机构选择标准”应对“多国认证或环保测试失败”，把原则转化为可执行的谈判行动。</x:v>
      </x:c>
      <x:c r="K223" s="26" t="str">
        <x:v>Selects labs the destination will actually accept.</x:v>
      </x:c>
    </x:row>
    <x:row r="224">
      <x:c r="A224" s="24" t="n">
        <x:v>7</x:v>
      </x:c>
      <x:c r="B224" s="25" t="str">
        <x:v>S7</x:v>
      </x:c>
      <x:c r="C224" s="25" t="str">
        <x:v>商品检验</x:v>
      </x:c>
      <x:c r="D224" s="25" t="str">
        <x:v>P7.07</x:v>
      </x:c>
      <x:c r="E224" s="25" t="str">
        <x:v>多国认证或环保测试失败</x:v>
      </x:c>
      <x:c r="F224" s="25" t="str">
        <x:v>高</x:v>
      </x:c>
      <x:c r="G224" s="25" t="str">
        <x:v>K088</x:v>
      </x:c>
      <x:c r="H224" s="25" t="str">
        <x:v>商品检验法规与质量控制</x:v>
      </x:c>
      <x:c r="I224" s="25" t="str">
        <x:v>法律规则</x:v>
      </x:c>
      <x:c r="J224" s="25" t="str">
        <x:v>“商品检验法规与质量控制”可用于识别、预防或处理“多国认证或环保测试失败”。</x:v>
      </x:c>
      <x:c r="K224" s="26" t="str">
        <x:v>Treats statutory certification as a legal gate, not a sales extra.</x:v>
      </x:c>
    </x:row>
    <x:row r="225">
      <x:c r="A225" s="24" t="n">
        <x:v>7</x:v>
      </x:c>
      <x:c r="B225" s="25" t="str">
        <x:v>S7</x:v>
      </x:c>
      <x:c r="C225" s="25" t="str">
        <x:v>商品检验</x:v>
      </x:c>
      <x:c r="D225" s="25" t="str">
        <x:v>P7.07</x:v>
      </x:c>
      <x:c r="E225" s="25" t="str">
        <x:v>多国认证或环保测试失败</x:v>
      </x:c>
      <x:c r="F225" s="25" t="str">
        <x:v>高</x:v>
      </x:c>
      <x:c r="G225" s="25" t="str">
        <x:v>K060</x:v>
      </x:c>
      <x:c r="H225" s="25" t="str">
        <x:v>包装环保与监管要求</x:v>
      </x:c>
      <x:c r="I225" s="25" t="str">
        <x:v>法律规则</x:v>
      </x:c>
      <x:c r="J225" s="25" t="str">
        <x:v>“包装环保与监管要求”可用于识别、预防或处理“多国认证或环保测试失败”。</x:v>
      </x:c>
      <x:c r="K225" s="26" t="str">
        <x:v>Includes packing-related environmental rules in the same plan.</x:v>
      </x:c>
    </x:row>
    <x:row r="226">
      <x:c r="A226" s="24" t="n">
        <x:v>7</x:v>
      </x:c>
      <x:c r="B226" s="25" t="str">
        <x:v>S7</x:v>
      </x:c>
      <x:c r="C226" s="25" t="str">
        <x:v>商品检验</x:v>
      </x:c>
      <x:c r="D226" s="25" t="str">
        <x:v>P7.07</x:v>
      </x:c>
      <x:c r="E226" s="25" t="str">
        <x:v>多国认证或环保测试失败</x:v>
      </x:c>
      <x:c r="F226" s="25" t="str">
        <x:v>高</x:v>
      </x:c>
      <x:c r="G226" s="25" t="str">
        <x:v>K051</x:v>
      </x:c>
      <x:c r="H226" s="25" t="str">
        <x:v>质量保证与售后服务</x:v>
      </x:c>
      <x:c r="I226" s="25" t="str">
        <x:v>业务流程</x:v>
      </x:c>
      <x:c r="J226" s="25" t="str">
        <x:v>“质量保证与售后服务”可用于识别、预防或处理“多国认证或环保测试失败”。</x:v>
      </x:c>
      <x:c r="K226" s="26" t="str">
        <x:v>Connects failed tests to QA and after-sales commitments.</x:v>
      </x:c>
    </x:row>
    <x:row r="227">
      <x:c r="A227" s="24" t="n">
        <x:v>8</x:v>
      </x:c>
      <x:c r="B227" s="25" t="str">
        <x:v>S8</x:v>
      </x:c>
      <x:c r="C227" s="25" t="str">
        <x:v>保险与仲裁</x:v>
      </x:c>
      <x:c r="D227" s="25" t="str">
        <x:v>P8.01</x:v>
      </x:c>
      <x:c r="E227" s="25" t="str">
        <x:v>不足额投保或险别与术语不匹配</x:v>
      </x:c>
      <x:c r="F227" s="25" t="str">
        <x:v>高</x:v>
      </x:c>
      <x:c r="G227" s="25" t="str">
        <x:v>K090</x:v>
      </x:c>
      <x:c r="H227" s="25" t="str">
        <x:v>货物运输保险的定义</x:v>
      </x:c>
      <x:c r="I227" s="25" t="str">
        <x:v>概念</x:v>
      </x:c>
      <x:c r="J227" s="25" t="str">
        <x:v>“货物运输保险的定义”可用于识别、预防或处理“不足额投保或险别与术语不匹配”。</x:v>
      </x:c>
      <x:c r="K227" s="26" t="str">
        <x:v>Reminds both sides that cargo insurance is a separate indemnity.</x:v>
      </x:c>
    </x:row>
    <x:row r="228">
      <x:c r="A228" s="24" t="n">
        <x:v>8</x:v>
      </x:c>
      <x:c r="B228" s="25" t="str">
        <x:v>S8</x:v>
      </x:c>
      <x:c r="C228" s="25" t="str">
        <x:v>保险与仲裁</x:v>
      </x:c>
      <x:c r="D228" s="25" t="str">
        <x:v>P8.01</x:v>
      </x:c>
      <x:c r="E228" s="25" t="str">
        <x:v>不足额投保或险别与术语不匹配</x:v>
      </x:c>
      <x:c r="F228" s="25" t="str">
        <x:v>高</x:v>
      </x:c>
      <x:c r="G228" s="25" t="str">
        <x:v>K091</x:v>
      </x:c>
      <x:c r="H228" s="25" t="str">
        <x:v>保险险别与承保范围选择</x:v>
      </x:c>
      <x:c r="I228" s="25" t="str">
        <x:v>策略</x:v>
      </x:c>
      <x:c r="J228" s="25" t="str">
        <x:v>运用“保险险别与承保范围选择”应对“不足额投保或险别与术语不匹配”，把原则转化为可执行的谈判行动。</x:v>
      </x:c>
      <x:c r="K228" s="26" t="str">
        <x:v>Selects Clause A/B/C (and add-ons) to the cargo and route.</x:v>
      </x:c>
    </x:row>
    <x:row r="229">
      <x:c r="A229" s="24" t="n">
        <x:v>8</x:v>
      </x:c>
      <x:c r="B229" s="25" t="str">
        <x:v>S8</x:v>
      </x:c>
      <x:c r="C229" s="25" t="str">
        <x:v>保险与仲裁</x:v>
      </x:c>
      <x:c r="D229" s="25" t="str">
        <x:v>P8.01</x:v>
      </x:c>
      <x:c r="E229" s="25" t="str">
        <x:v>不足额投保或险别与术语不匹配</x:v>
      </x:c>
      <x:c r="F229" s="25" t="str">
        <x:v>高</x:v>
      </x:c>
      <x:c r="G229" s="25" t="str">
        <x:v>K016</x:v>
      </x:c>
      <x:c r="H229" s="25" t="str">
        <x:v>FOB 条件</x:v>
      </x:c>
      <x:c r="I229" s="25" t="str">
        <x:v>法律规则</x:v>
      </x:c>
      <x:c r="J229" s="25" t="str">
        <x:v>“FOB 条件”可用于识别、预防或处理“不足额投保或险别与术语不匹配”。</x:v>
      </x:c>
      <x:c r="K229" s="26" t="str">
        <x:v>Under FOB, puts the buyer on notice that insurance is theirs.</x:v>
      </x:c>
    </x:row>
    <x:row r="230">
      <x:c r="A230" s="24" t="n">
        <x:v>8</x:v>
      </x:c>
      <x:c r="B230" s="25" t="str">
        <x:v>S8</x:v>
      </x:c>
      <x:c r="C230" s="25" t="str">
        <x:v>保险与仲裁</x:v>
      </x:c>
      <x:c r="D230" s="25" t="str">
        <x:v>P8.01</x:v>
      </x:c>
      <x:c r="E230" s="25" t="str">
        <x:v>不足额投保或险别与术语不匹配</x:v>
      </x:c>
      <x:c r="F230" s="25" t="str">
        <x:v>高</x:v>
      </x:c>
      <x:c r="G230" s="25" t="str">
        <x:v>K017</x:v>
      </x:c>
      <x:c r="H230" s="25" t="str">
        <x:v>CIF 条件</x:v>
      </x:c>
      <x:c r="I230" s="25" t="str">
        <x:v>法律规则</x:v>
      </x:c>
      <x:c r="J230" s="25" t="str">
        <x:v>“CIF 条件”可用于识别、预防或处理“不足额投保或险别与术语不匹配”。</x:v>
      </x:c>
      <x:c r="K230" s="26" t="str">
        <x:v>Under CIF, stops the seller from buying only minimum cover by default.</x:v>
      </x:c>
    </x:row>
    <x:row r="231">
      <x:c r="A231" s="24" t="n">
        <x:v>8</x:v>
      </x:c>
      <x:c r="B231" s="25" t="str">
        <x:v>S8</x:v>
      </x:c>
      <x:c r="C231" s="25" t="str">
        <x:v>保险与仲裁</x:v>
      </x:c>
      <x:c r="D231" s="25" t="str">
        <x:v>P8.01</x:v>
      </x:c>
      <x:c r="E231" s="25" t="str">
        <x:v>不足额投保或险别与术语不匹配</x:v>
      </x:c>
      <x:c r="F231" s="25" t="str">
        <x:v>高</x:v>
      </x:c>
      <x:c r="G231" s="25" t="str">
        <x:v>K094</x:v>
      </x:c>
      <x:c r="H231" s="25" t="str">
        <x:v>免赔额与国际保险条款</x:v>
      </x:c>
      <x:c r="I231" s="25" t="str">
        <x:v>法律规则</x:v>
      </x:c>
      <x:c r="J231" s="25" t="str">
        <x:v>“免赔额与国际保险条款”可用于识别、预防或处理“不足额投保或险别与术语不匹配”。</x:v>
      </x:c>
      <x:c r="K231" s="26" t="str">
        <x:v>Reads deductibles and Institute/CIC clauses before promising 'full cover'.</x:v>
      </x:c>
    </x:row>
    <x:row r="232">
      <x:c r="A232" s="24" t="n">
        <x:v>8</x:v>
      </x:c>
      <x:c r="B232" s="25" t="str">
        <x:v>S8</x:v>
      </x:c>
      <x:c r="C232" s="25" t="str">
        <x:v>保险与仲裁</x:v>
      </x:c>
      <x:c r="D232" s="25" t="str">
        <x:v>P8.01</x:v>
      </x:c>
      <x:c r="E232" s="25" t="str">
        <x:v>不足额投保或险别与术语不匹配</x:v>
      </x:c>
      <x:c r="F232" s="25" t="str">
        <x:v>高</x:v>
      </x:c>
      <x:c r="G232" s="25" t="str">
        <x:v>K092</x:v>
      </x:c>
      <x:c r="H232" s="25" t="str">
        <x:v>保险金额、估值与保费计算</x:v>
      </x:c>
      <x:c r="I232" s="25" t="str">
        <x:v>业务流程</x:v>
      </x:c>
      <x:c r="J232" s="25" t="str">
        <x:v>“保险金额、估值与保费计算”可用于识别、预防或处理“不足额投保或险别与术语不匹配”。</x:v>
      </x:c>
      <x:c r="K232" s="26" t="str">
        <x:v>Sets CIF × 110% (or the agreed valuation) so average is not a surprise.</x:v>
      </x:c>
    </x:row>
    <x:row r="233">
      <x:c r="A233" s="24" t="n">
        <x:v>8</x:v>
      </x:c>
      <x:c r="B233" s="25" t="str">
        <x:v>S8</x:v>
      </x:c>
      <x:c r="C233" s="25" t="str">
        <x:v>保险与仲裁</x:v>
      </x:c>
      <x:c r="D233" s="25" t="str">
        <x:v>P8.02</x:v>
      </x:c>
      <x:c r="E233" s="25" t="str">
        <x:v>索赔因程序或免赔额被拒</x:v>
      </x:c>
      <x:c r="F233" s="25" t="str">
        <x:v>高</x:v>
      </x:c>
      <x:c r="G233" s="25" t="str">
        <x:v>K093</x:v>
      </x:c>
      <x:c r="H233" s="25" t="str">
        <x:v>投保与保险索赔程序</x:v>
      </x:c>
      <x:c r="I233" s="25" t="str">
        <x:v>业务流程</x:v>
      </x:c>
      <x:c r="J233" s="25" t="str">
        <x:v>“投保与保险索赔程序”可用于识别、预防或处理“索赔因程序或免赔额被拒”。</x:v>
      </x:c>
      <x:c r="K233" s="26" t="str">
        <x:v>Runs notice, survey, and document steps inside policy time.</x:v>
      </x:c>
    </x:row>
    <x:row r="234">
      <x:c r="A234" s="24" t="n">
        <x:v>8</x:v>
      </x:c>
      <x:c r="B234" s="25" t="str">
        <x:v>S8</x:v>
      </x:c>
      <x:c r="C234" s="25" t="str">
        <x:v>保险与仲裁</x:v>
      </x:c>
      <x:c r="D234" s="25" t="str">
        <x:v>P8.02</x:v>
      </x:c>
      <x:c r="E234" s="25" t="str">
        <x:v>索赔因程序或免赔额被拒</x:v>
      </x:c>
      <x:c r="F234" s="25" t="str">
        <x:v>高</x:v>
      </x:c>
      <x:c r="G234" s="25" t="str">
        <x:v>K094</x:v>
      </x:c>
      <x:c r="H234" s="25" t="str">
        <x:v>免赔额与国际保险条款</x:v>
      </x:c>
      <x:c r="I234" s="25" t="str">
        <x:v>法律规则</x:v>
      </x:c>
      <x:c r="J234" s="25" t="str">
        <x:v>“免赔额与国际保险条款”可用于识别、预防或处理“索赔因程序或免赔额被拒”。</x:v>
      </x:c>
      <x:c r="K234" s="26" t="str">
        <x:v>Checks whether the loss is inside a deductible or exclusion.</x:v>
      </x:c>
    </x:row>
    <x:row r="235">
      <x:c r="A235" s="24" t="n">
        <x:v>8</x:v>
      </x:c>
      <x:c r="B235" s="25" t="str">
        <x:v>S8</x:v>
      </x:c>
      <x:c r="C235" s="25" t="str">
        <x:v>保险与仲裁</x:v>
      </x:c>
      <x:c r="D235" s="25" t="str">
        <x:v>P8.02</x:v>
      </x:c>
      <x:c r="E235" s="25" t="str">
        <x:v>索赔因程序或免赔额被拒</x:v>
      </x:c>
      <x:c r="F235" s="25" t="str">
        <x:v>高</x:v>
      </x:c>
      <x:c r="G235" s="25" t="str">
        <x:v>K092</x:v>
      </x:c>
      <x:c r="H235" s="25" t="str">
        <x:v>保险金额、估值与保费计算</x:v>
      </x:c>
      <x:c r="I235" s="25" t="str">
        <x:v>业务流程</x:v>
      </x:c>
      <x:c r="J235" s="25" t="str">
        <x:v>“保险金额、估值与保费计算”可用于识别、预防或处理“索赔因程序或免赔额被拒”。</x:v>
      </x:c>
      <x:c r="K235" s="26" t="str">
        <x:v>Recalculates recoverable amount after under-insurance/average.</x:v>
      </x:c>
    </x:row>
    <x:row r="236">
      <x:c r="A236" s="24" t="n">
        <x:v>8</x:v>
      </x:c>
      <x:c r="B236" s="25" t="str">
        <x:v>S8</x:v>
      </x:c>
      <x:c r="C236" s="25" t="str">
        <x:v>保险与仲裁</x:v>
      </x:c>
      <x:c r="D236" s="25" t="str">
        <x:v>P8.02</x:v>
      </x:c>
      <x:c r="E236" s="25" t="str">
        <x:v>索赔因程序或免赔额被拒</x:v>
      </x:c>
      <x:c r="F236" s="25" t="str">
        <x:v>高</x:v>
      </x:c>
      <x:c r="G236" s="25" t="str">
        <x:v>K112</x:v>
      </x:c>
      <x:c r="H236" s="25" t="str">
        <x:v>证据收集与证据链完整性</x:v>
      </x:c>
      <x:c r="I236" s="25" t="str">
        <x:v>业务流程</x:v>
      </x:c>
      <x:c r="J236" s="25" t="str">
        <x:v>“证据收集与证据链完整性”可用于识别、预防或处理“索赔因程序或免赔额被拒”。</x:v>
      </x:c>
      <x:c r="K236" s="26" t="str">
        <x:v>Repairs what can still be repaired in the evidence chain.</x:v>
      </x:c>
    </x:row>
    <x:row r="237">
      <x:c r="A237" s="24" t="n">
        <x:v>8</x:v>
      </x:c>
      <x:c r="B237" s="25" t="str">
        <x:v>S8</x:v>
      </x:c>
      <x:c r="C237" s="25" t="str">
        <x:v>保险与仲裁</x:v>
      </x:c>
      <x:c r="D237" s="25" t="str">
        <x:v>P8.02</x:v>
      </x:c>
      <x:c r="E237" s="25" t="str">
        <x:v>索赔因程序或免赔额被拒</x:v>
      </x:c>
      <x:c r="F237" s="25" t="str">
        <x:v>高</x:v>
      </x:c>
      <x:c r="G237" s="25" t="str">
        <x:v>K058</x:v>
      </x:c>
      <x:c r="H237" s="25" t="str">
        <x:v>装运通知与货物跟踪</x:v>
      </x:c>
      <x:c r="I237" s="25" t="str">
        <x:v>业务流程</x:v>
      </x:c>
      <x:c r="J237" s="25" t="str">
        <x:v>“装运通知与货物跟踪”可用于识别、预防或处理“索赔因程序或免赔额被拒”。</x:v>
      </x:c>
      <x:c r="K237" s="26" t="str">
        <x:v>Uses the shipping advice as part of the claim file.</x:v>
      </x:c>
    </x:row>
    <x:row r="238">
      <x:c r="A238" s="24" t="n">
        <x:v>8</x:v>
      </x:c>
      <x:c r="B238" s="25" t="str">
        <x:v>S8</x:v>
      </x:c>
      <x:c r="C238" s="25" t="str">
        <x:v>保险与仲裁</x:v>
      </x:c>
      <x:c r="D238" s="25" t="str">
        <x:v>P8.03</x:v>
      </x:c>
      <x:c r="E238" s="25" t="str">
        <x:v>仲裁条款缺失或含糊</x:v>
      </x:c>
      <x:c r="F238" s="25" t="str">
        <x:v>高</x:v>
      </x:c>
      <x:c r="G238" s="25" t="str">
        <x:v>K097</x:v>
      </x:c>
      <x:c r="H238" s="25" t="str">
        <x:v>仲裁条款起草</x:v>
      </x:c>
      <x:c r="I238" s="25" t="str">
        <x:v>法律规则</x:v>
      </x:c>
      <x:c r="J238" s="25" t="str">
        <x:v>“仲裁条款起草”可用于识别、预防或处理“仲裁条款缺失或含糊”。</x:v>
      </x:c>
      <x:c r="K238" s="26" t="str">
        <x:v>Drafts a complete clause: institution, seat, language, law, arbitrators.</x:v>
      </x:c>
    </x:row>
    <x:row r="239">
      <x:c r="A239" s="24" t="n">
        <x:v>8</x:v>
      </x:c>
      <x:c r="B239" s="25" t="str">
        <x:v>S8</x:v>
      </x:c>
      <x:c r="C239" s="25" t="str">
        <x:v>保险与仲裁</x:v>
      </x:c>
      <x:c r="D239" s="25" t="str">
        <x:v>P8.03</x:v>
      </x:c>
      <x:c r="E239" s="25" t="str">
        <x:v>仲裁条款缺失或含糊</x:v>
      </x:c>
      <x:c r="F239" s="25" t="str">
        <x:v>高</x:v>
      </x:c>
      <x:c r="G239" s="25" t="str">
        <x:v>K095</x:v>
      </x:c>
      <x:c r="H239" s="25" t="str">
        <x:v>仲裁的定义与优势</x:v>
      </x:c>
      <x:c r="I239" s="25" t="str">
        <x:v>概念</x:v>
      </x:c>
      <x:c r="J239" s="25" t="str">
        <x:v>“仲裁的定义与优势”可用于识别、预防或处理“仲裁条款缺失或含糊”。</x:v>
      </x:c>
      <x:c r="K239" s="26" t="str">
        <x:v>Explains why a private path is being added at all.</x:v>
      </x:c>
    </x:row>
    <x:row r="240">
      <x:c r="A240" s="24" t="n">
        <x:v>8</x:v>
      </x:c>
      <x:c r="B240" s="25" t="str">
        <x:v>S8</x:v>
      </x:c>
      <x:c r="C240" s="25" t="str">
        <x:v>保险与仲裁</x:v>
      </x:c>
      <x:c r="D240" s="25" t="str">
        <x:v>P8.03</x:v>
      </x:c>
      <x:c r="E240" s="25" t="str">
        <x:v>仲裁条款缺失或含糊</x:v>
      </x:c>
      <x:c r="F240" s="25" t="str">
        <x:v>高</x:v>
      </x:c>
      <x:c r="G240" s="25" t="str">
        <x:v>K047</x:v>
      </x:c>
      <x:c r="H240" s="25" t="str">
        <x:v>买卖合同的成立与条款</x:v>
      </x:c>
      <x:c r="I240" s="25" t="str">
        <x:v>法律规则</x:v>
      </x:c>
      <x:c r="J240" s="25" t="str">
        <x:v>“买卖合同的成立与条款”可用于识别、预防或处理“仲裁条款缺失或含糊”。</x:v>
      </x:c>
      <x:c r="K240" s="26" t="str">
        <x:v>Places the clause in the contract terms, not in a side email.</x:v>
      </x:c>
    </x:row>
    <x:row r="241">
      <x:c r="A241" s="24" t="n">
        <x:v>8</x:v>
      </x:c>
      <x:c r="B241" s="25" t="str">
        <x:v>S8</x:v>
      </x:c>
      <x:c r="C241" s="25" t="str">
        <x:v>保险与仲裁</x:v>
      </x:c>
      <x:c r="D241" s="25" t="str">
        <x:v>P8.03</x:v>
      </x:c>
      <x:c r="E241" s="25" t="str">
        <x:v>仲裁条款缺失或含糊</x:v>
      </x:c>
      <x:c r="F241" s="25" t="str">
        <x:v>高</x:v>
      </x:c>
      <x:c r="G241" s="25" t="str">
        <x:v>K099</x:v>
      </x:c>
      <x:c r="H241" s="25" t="str">
        <x:v>准据法与管辖权</x:v>
      </x:c>
      <x:c r="I241" s="25" t="str">
        <x:v>法律规则</x:v>
      </x:c>
      <x:c r="J241" s="25" t="str">
        <x:v>“准据法与管辖权”可用于识别、预防或处理“仲裁条款缺失或含糊”。</x:v>
      </x:c>
      <x:c r="K241" s="26" t="str">
        <x:v>Fills governing law so the blank does not become a second fight.</x:v>
      </x:c>
    </x:row>
    <x:row r="242">
      <x:c r="A242" s="24" t="n">
        <x:v>8</x:v>
      </x:c>
      <x:c r="B242" s="25" t="str">
        <x:v>S8</x:v>
      </x:c>
      <x:c r="C242" s="25" t="str">
        <x:v>保险与仲裁</x:v>
      </x:c>
      <x:c r="D242" s="25" t="str">
        <x:v>P8.04</x:v>
      </x:c>
      <x:c r="E242" s="25" t="str">
        <x:v>仲裁地不当导致裁决难执行</x:v>
      </x:c>
      <x:c r="F242" s="25" t="str">
        <x:v>高</x:v>
      </x:c>
      <x:c r="G242" s="25" t="str">
        <x:v>K096</x:v>
      </x:c>
      <x:c r="H242" s="25" t="str">
        <x:v>仲裁制度与机构选择</x:v>
      </x:c>
      <x:c r="I242" s="25" t="str">
        <x:v>策略</x:v>
      </x:c>
      <x:c r="J242" s="25" t="str">
        <x:v>运用“仲裁制度与机构选择”应对“仲裁地不当导致裁决难执行”，把原则转化为可执行的谈判行动。</x:v>
      </x:c>
      <x:c r="K242" s="26" t="str">
        <x:v>Picks an institution and seat with a real enforcement path.</x:v>
      </x:c>
    </x:row>
    <x:row r="243">
      <x:c r="A243" s="24" t="n">
        <x:v>8</x:v>
      </x:c>
      <x:c r="B243" s="25" t="str">
        <x:v>S8</x:v>
      </x:c>
      <x:c r="C243" s="25" t="str">
        <x:v>保险与仲裁</x:v>
      </x:c>
      <x:c r="D243" s="25" t="str">
        <x:v>P8.04</x:v>
      </x:c>
      <x:c r="E243" s="25" t="str">
        <x:v>仲裁地不当导致裁决难执行</x:v>
      </x:c>
      <x:c r="F243" s="25" t="str">
        <x:v>高</x:v>
      </x:c>
      <x:c r="G243" s="25" t="str">
        <x:v>K098</x:v>
      </x:c>
      <x:c r="H243" s="25" t="str">
        <x:v>仲裁程序、费用与裁决执行</x:v>
      </x:c>
      <x:c r="I243" s="25" t="str">
        <x:v>业务流程</x:v>
      </x:c>
      <x:c r="J243" s="25" t="str">
        <x:v>“仲裁程序、费用与裁决执行”可用于识别、预防或处理“仲裁地不当导致裁决难执行”。</x:v>
      </x:c>
      <x:c r="K243" s="26" t="str">
        <x:v>Maps New York Convention enforcement against the counterpart’s assets.</x:v>
      </x:c>
    </x:row>
    <x:row r="244">
      <x:c r="A244" s="24" t="n">
        <x:v>8</x:v>
      </x:c>
      <x:c r="B244" s="25" t="str">
        <x:v>S8</x:v>
      </x:c>
      <x:c r="C244" s="25" t="str">
        <x:v>保险与仲裁</x:v>
      </x:c>
      <x:c r="D244" s="25" t="str">
        <x:v>P8.04</x:v>
      </x:c>
      <x:c r="E244" s="25" t="str">
        <x:v>仲裁地不当导致裁决难执行</x:v>
      </x:c>
      <x:c r="F244" s="25" t="str">
        <x:v>高</x:v>
      </x:c>
      <x:c r="G244" s="25" t="str">
        <x:v>K099</x:v>
      </x:c>
      <x:c r="H244" s="25" t="str">
        <x:v>准据法与管辖权</x:v>
      </x:c>
      <x:c r="I244" s="25" t="str">
        <x:v>法律规则</x:v>
      </x:c>
      <x:c r="J244" s="25" t="str">
        <x:v>“准据法与管辖权”可用于识别、预防或处理“仲裁地不当导致裁决难执行”。</x:v>
      </x:c>
      <x:c r="K244" s="26" t="str">
        <x:v>Separates seat, governing law, and court of support.</x:v>
      </x:c>
    </x:row>
    <x:row r="245">
      <x:c r="A245" s="24" t="n">
        <x:v>8</x:v>
      </x:c>
      <x:c r="B245" s="25" t="str">
        <x:v>S8</x:v>
      </x:c>
      <x:c r="C245" s="25" t="str">
        <x:v>保险与仲裁</x:v>
      </x:c>
      <x:c r="D245" s="25" t="str">
        <x:v>P8.04</x:v>
      </x:c>
      <x:c r="E245" s="25" t="str">
        <x:v>仲裁地不当导致裁决难执行</x:v>
      </x:c>
      <x:c r="F245" s="25" t="str">
        <x:v>高</x:v>
      </x:c>
      <x:c r="G245" s="25" t="str">
        <x:v>K097</x:v>
      </x:c>
      <x:c r="H245" s="25" t="str">
        <x:v>仲裁条款起草</x:v>
      </x:c>
      <x:c r="I245" s="25" t="str">
        <x:v>法律规则</x:v>
      </x:c>
      <x:c r="J245" s="25" t="str">
        <x:v>“仲裁条款起草”可用于识别、预防或处理“仲裁地不当导致裁决难执行”。</x:v>
      </x:c>
      <x:c r="K245" s="26" t="str">
        <x:v>Rewrites a pathological clause before a dispute exists.</x:v>
      </x:c>
    </x:row>
    <x:row r="246">
      <x:c r="A246" s="24" t="n">
        <x:v>8</x:v>
      </x:c>
      <x:c r="B246" s="25" t="str">
        <x:v>S8</x:v>
      </x:c>
      <x:c r="C246" s="25" t="str">
        <x:v>保险与仲裁</x:v>
      </x:c>
      <x:c r="D246" s="25" t="str">
        <x:v>P8.05</x:v>
      </x:c>
      <x:c r="E246" s="25" t="str">
        <x:v>诉讼与仲裁选择分歧</x:v>
      </x:c>
      <x:c r="F246" s="25" t="str">
        <x:v>中</x:v>
      </x:c>
      <x:c r="G246" s="25" t="str">
        <x:v>K095</x:v>
      </x:c>
      <x:c r="H246" s="25" t="str">
        <x:v>仲裁的定义与优势</x:v>
      </x:c>
      <x:c r="I246" s="25" t="str">
        <x:v>概念</x:v>
      </x:c>
      <x:c r="J246" s="25" t="str">
        <x:v>“仲裁的定义与优势”可用于识别、预防或处理“诉讼与仲裁选择分歧”。</x:v>
      </x:c>
      <x:c r="K246" s="26" t="str">
        <x:v>States the advantages of arbitration in commercial terms.</x:v>
      </x:c>
    </x:row>
    <x:row r="247">
      <x:c r="A247" s="24" t="n">
        <x:v>8</x:v>
      </x:c>
      <x:c r="B247" s="25" t="str">
        <x:v>S8</x:v>
      </x:c>
      <x:c r="C247" s="25" t="str">
        <x:v>保险与仲裁</x:v>
      </x:c>
      <x:c r="D247" s="25" t="str">
        <x:v>P8.05</x:v>
      </x:c>
      <x:c r="E247" s="25" t="str">
        <x:v>诉讼与仲裁选择分歧</x:v>
      </x:c>
      <x:c r="F247" s="25" t="str">
        <x:v>中</x:v>
      </x:c>
      <x:c r="G247" s="25" t="str">
        <x:v>K100</x:v>
      </x:c>
      <x:c r="H247" s="25" t="str">
        <x:v>保险与仲裁的跨文化差异</x:v>
      </x:c>
      <x:c r="I247" s="25" t="str">
        <x:v>跨文化</x:v>
      </x:c>
      <x:c r="J247" s="25" t="str">
        <x:v>“保险与仲裁的跨文化差异”可用于识别、预防或处理“诉讼与仲裁选择分歧”。</x:v>
      </x:c>
      <x:c r="K247" s="26" t="str">
        <x:v>Frames the clause as fairness, not as distrust.</x:v>
      </x:c>
    </x:row>
    <x:row r="248">
      <x:c r="A248" s="24" t="n">
        <x:v>8</x:v>
      </x:c>
      <x:c r="B248" s="25" t="str">
        <x:v>S8</x:v>
      </x:c>
      <x:c r="C248" s="25" t="str">
        <x:v>保险与仲裁</x:v>
      </x:c>
      <x:c r="D248" s="25" t="str">
        <x:v>P8.05</x:v>
      </x:c>
      <x:c r="E248" s="25" t="str">
        <x:v>诉讼与仲裁选择分歧</x:v>
      </x:c>
      <x:c r="F248" s="25" t="str">
        <x:v>中</x:v>
      </x:c>
      <x:c r="G248" s="25" t="str">
        <x:v>K096</x:v>
      </x:c>
      <x:c r="H248" s="25" t="str">
        <x:v>仲裁制度与机构选择</x:v>
      </x:c>
      <x:c r="I248" s="25" t="str">
        <x:v>策略</x:v>
      </x:c>
      <x:c r="J248" s="25" t="str">
        <x:v>运用“仲裁制度与机构选择”应对“诉讼与仲裁选择分歧”，把原则转化为可执行的谈判行动。</x:v>
      </x:c>
      <x:c r="K248" s="26" t="str">
        <x:v>Offers a neutral institution as the compromise.</x:v>
      </x:c>
    </x:row>
    <x:row r="249">
      <x:c r="A249" s="24" t="n">
        <x:v>8</x:v>
      </x:c>
      <x:c r="B249" s="25" t="str">
        <x:v>S8</x:v>
      </x:c>
      <x:c r="C249" s="25" t="str">
        <x:v>保险与仲裁</x:v>
      </x:c>
      <x:c r="D249" s="25" t="str">
        <x:v>P8.05</x:v>
      </x:c>
      <x:c r="E249" s="25" t="str">
        <x:v>诉讼与仲裁选择分歧</x:v>
      </x:c>
      <x:c r="F249" s="25" t="str">
        <x:v>中</x:v>
      </x:c>
      <x:c r="G249" s="25" t="str">
        <x:v>K109</x:v>
      </x:c>
      <x:c r="H249" s="25" t="str">
        <x:v>根因分析与争议调解</x:v>
      </x:c>
      <x:c r="I249" s="25" t="str">
        <x:v>业务流程</x:v>
      </x:c>
      <x:c r="J249" s="25" t="str">
        <x:v>“根因分析与争议调解”可用于识别、预防或处理“诉讼与仲裁选择分歧”。</x:v>
      </x:c>
      <x:c r="K249" s="26" t="str">
        <x:v>Keeps mediation as a step before either court or tribunal.</x:v>
      </x:c>
    </x:row>
    <x:row r="250">
      <x:c r="A250" s="24" t="n">
        <x:v>8</x:v>
      </x:c>
      <x:c r="B250" s="25" t="str">
        <x:v>S8</x:v>
      </x:c>
      <x:c r="C250" s="25" t="str">
        <x:v>保险与仲裁</x:v>
      </x:c>
      <x:c r="D250" s="25" t="str">
        <x:v>P8.06</x:v>
      </x:c>
      <x:c r="E250" s="25" t="str">
        <x:v>保险损失与不可抗力混淆</x:v>
      </x:c>
      <x:c r="F250" s="25" t="str">
        <x:v>高</x:v>
      </x:c>
      <x:c r="G250" s="25" t="str">
        <x:v>K114</x:v>
      </x:c>
      <x:c r="H250" s="25" t="str">
        <x:v>不可抗力条款与案例</x:v>
      </x:c>
      <x:c r="I250" s="25" t="str">
        <x:v>法律规则</x:v>
      </x:c>
      <x:c r="J250" s="25" t="str">
        <x:v>“不可抗力条款与案例”可用于识别、预防或处理“保险损失与不可抗力混淆”。</x:v>
      </x:c>
      <x:c r="K250" s="26" t="str">
        <x:v>Defines FM so an insured transit loss is not dressed up as FM.</x:v>
      </x:c>
    </x:row>
    <x:row r="251">
      <x:c r="A251" s="24" t="n">
        <x:v>8</x:v>
      </x:c>
      <x:c r="B251" s="25" t="str">
        <x:v>S8</x:v>
      </x:c>
      <x:c r="C251" s="25" t="str">
        <x:v>保险与仲裁</x:v>
      </x:c>
      <x:c r="D251" s="25" t="str">
        <x:v>P8.06</x:v>
      </x:c>
      <x:c r="E251" s="25" t="str">
        <x:v>保险损失与不可抗力混淆</x:v>
      </x:c>
      <x:c r="F251" s="25" t="str">
        <x:v>高</x:v>
      </x:c>
      <x:c r="G251" s="25" t="str">
        <x:v>K090</x:v>
      </x:c>
      <x:c r="H251" s="25" t="str">
        <x:v>货物运输保险的定义</x:v>
      </x:c>
      <x:c r="I251" s="25" t="str">
        <x:v>概念</x:v>
      </x:c>
      <x:c r="J251" s="25" t="str">
        <x:v>“货物运输保险的定义”可用于识别、预防或处理“保险损失与不可抗力混淆”。</x:v>
      </x:c>
      <x:c r="K251" s="26" t="str">
        <x:v>Keeps the insurance claim on the insurance contract.</x:v>
      </x:c>
    </x:row>
    <x:row r="252">
      <x:c r="A252" s="24" t="n">
        <x:v>8</x:v>
      </x:c>
      <x:c r="B252" s="25" t="str">
        <x:v>S8</x:v>
      </x:c>
      <x:c r="C252" s="25" t="str">
        <x:v>保险与仲裁</x:v>
      </x:c>
      <x:c r="D252" s="25" t="str">
        <x:v>P8.06</x:v>
      </x:c>
      <x:c r="E252" s="25" t="str">
        <x:v>保险损失与不可抗力混淆</x:v>
      </x:c>
      <x:c r="F252" s="25" t="str">
        <x:v>高</x:v>
      </x:c>
      <x:c r="G252" s="25" t="str">
        <x:v>K050</x:v>
      </x:c>
      <x:c r="H252" s="25" t="str">
        <x:v>合同免责条款</x:v>
      </x:c>
      <x:c r="I252" s="25" t="str">
        <x:v>法律规则</x:v>
      </x:c>
      <x:c r="J252" s="25" t="str">
        <x:v>“合同免责条款”可用于识别、预防或处理“保险损失与不可抗力混淆”。</x:v>
      </x:c>
      <x:c r="K252" s="26" t="str">
        <x:v>Reads the exemption clause against the same facts.</x:v>
      </x:c>
    </x:row>
    <x:row r="253">
      <x:c r="A253" s="24" t="n">
        <x:v>8</x:v>
      </x:c>
      <x:c r="B253" s="25" t="str">
        <x:v>S8</x:v>
      </x:c>
      <x:c r="C253" s="25" t="str">
        <x:v>保险与仲裁</x:v>
      </x:c>
      <x:c r="D253" s="25" t="str">
        <x:v>P8.06</x:v>
      </x:c>
      <x:c r="E253" s="25" t="str">
        <x:v>保险损失与不可抗力混淆</x:v>
      </x:c>
      <x:c r="F253" s="25" t="str">
        <x:v>高</x:v>
      </x:c>
      <x:c r="G253" s="25" t="str">
        <x:v>K074</x:v>
      </x:c>
      <x:c r="H253" s="25" t="str">
        <x:v>交付迟延与合同违约</x:v>
      </x:c>
      <x:c r="I253" s="25" t="str">
        <x:v>法律规则</x:v>
      </x:c>
      <x:c r="J253" s="25" t="str">
        <x:v>“交付迟延与合同违约”可用于识别、预防或处理“保险损失与不可抗力混淆”。</x:v>
      </x:c>
      <x:c r="K253" s="26" t="str">
        <x:v>If it is ordinary delay, treats it as breach, not as FM.</x:v>
      </x:c>
    </x:row>
    <x:row r="254">
      <x:c r="A254" s="24" t="n">
        <x:v>8</x:v>
      </x:c>
      <x:c r="B254" s="25" t="str">
        <x:v>S8</x:v>
      </x:c>
      <x:c r="C254" s="25" t="str">
        <x:v>保险与仲裁</x:v>
      </x:c>
      <x:c r="D254" s="25" t="str">
        <x:v>P8.07</x:v>
      </x:c>
      <x:c r="E254" s="25" t="str">
        <x:v>仲裁成本与周期失控</x:v>
      </x:c>
      <x:c r="F254" s="25" t="str">
        <x:v>中</x:v>
      </x:c>
      <x:c r="G254" s="25" t="str">
        <x:v>K098</x:v>
      </x:c>
      <x:c r="H254" s="25" t="str">
        <x:v>仲裁程序、费用与裁决执行</x:v>
      </x:c>
      <x:c r="I254" s="25" t="str">
        <x:v>业务流程</x:v>
      </x:c>
      <x:c r="J254" s="25" t="str">
        <x:v>“仲裁程序、费用与裁决执行”可用于识别、预防或处理“仲裁成本与周期失控”。</x:v>
      </x:c>
      <x:c r="K254" s="26" t="str">
        <x:v>Compares tribunal cost and time with the amount in dispute.</x:v>
      </x:c>
    </x:row>
    <x:row r="255">
      <x:c r="A255" s="24" t="n">
        <x:v>8</x:v>
      </x:c>
      <x:c r="B255" s="25" t="str">
        <x:v>S8</x:v>
      </x:c>
      <x:c r="C255" s="25" t="str">
        <x:v>保险与仲裁</x:v>
      </x:c>
      <x:c r="D255" s="25" t="str">
        <x:v>P8.07</x:v>
      </x:c>
      <x:c r="E255" s="25" t="str">
        <x:v>仲裁成本与周期失控</x:v>
      </x:c>
      <x:c r="F255" s="25" t="str">
        <x:v>中</x:v>
      </x:c>
      <x:c r="G255" s="25" t="str">
        <x:v>K096</x:v>
      </x:c>
      <x:c r="H255" s="25" t="str">
        <x:v>仲裁制度与机构选择</x:v>
      </x:c>
      <x:c r="I255" s="25" t="str">
        <x:v>策略</x:v>
      </x:c>
      <x:c r="J255" s="25" t="str">
        <x:v>运用“仲裁制度与机构选择”应对“仲裁成本与周期失控”，把原则转化为可执行的谈判行动。</x:v>
      </x:c>
      <x:c r="K255" s="26" t="str">
        <x:v>Chooses a leaner institution or expedited rules.</x:v>
      </x:c>
    </x:row>
    <x:row r="256">
      <x:c r="A256" s="24" t="n">
        <x:v>8</x:v>
      </x:c>
      <x:c r="B256" s="25" t="str">
        <x:v>S8</x:v>
      </x:c>
      <x:c r="C256" s="25" t="str">
        <x:v>保险与仲裁</x:v>
      </x:c>
      <x:c r="D256" s="25" t="str">
        <x:v>P8.07</x:v>
      </x:c>
      <x:c r="E256" s="25" t="str">
        <x:v>仲裁成本与周期失控</x:v>
      </x:c>
      <x:c r="F256" s="25" t="str">
        <x:v>中</x:v>
      </x:c>
      <x:c r="G256" s="25" t="str">
        <x:v>K118</x:v>
      </x:c>
      <x:c r="H256" s="25" t="str">
        <x:v>索赔谈判、和解、调解与诉讼</x:v>
      </x:c>
      <x:c r="I256" s="25" t="str">
        <x:v>策略</x:v>
      </x:c>
      <x:c r="J256" s="25" t="str">
        <x:v>运用“索赔谈判、和解、调解与诉讼”应对“仲裁成本与周期失控”，把原则转化为可执行的谈判行动。</x:v>
      </x:c>
      <x:c r="K256" s="26" t="str">
        <x:v>Prefers settlement or mediation when the file is not worth a full arbitration.</x:v>
      </x:c>
    </x:row>
    <x:row r="257">
      <x:c r="A257" s="24" t="n">
        <x:v>8</x:v>
      </x:c>
      <x:c r="B257" s="25" t="str">
        <x:v>S8</x:v>
      </x:c>
      <x:c r="C257" s="25" t="str">
        <x:v>保险与仲裁</x:v>
      </x:c>
      <x:c r="D257" s="25" t="str">
        <x:v>P8.07</x:v>
      </x:c>
      <x:c r="E257" s="25" t="str">
        <x:v>仲裁成本与周期失控</x:v>
      </x:c>
      <x:c r="F257" s="25" t="str">
        <x:v>中</x:v>
      </x:c>
      <x:c r="G257" s="25" t="str">
        <x:v>K109</x:v>
      </x:c>
      <x:c r="H257" s="25" t="str">
        <x:v>根因分析与争议调解</x:v>
      </x:c>
      <x:c r="I257" s="25" t="str">
        <x:v>业务流程</x:v>
      </x:c>
      <x:c r="J257" s="25" t="str">
        <x:v>“根因分析与争议调解”可用于识别、预防或处理“仲裁成本与周期失控”。</x:v>
      </x:c>
      <x:c r="K257" s="26" t="str">
        <x:v>Uses mediation as the cheaper first step.</x:v>
      </x:c>
    </x:row>
    <x:row r="258">
      <x:c r="A258" s="24" t="n">
        <x:v>9</x:v>
      </x:c>
      <x:c r="B258" s="25" t="str">
        <x:v>S9</x:v>
      </x:c>
      <x:c r="C258" s="25" t="str">
        <x:v>投诉、索赔与和解</x:v>
      </x:c>
      <x:c r="D258" s="25" t="str">
        <x:v>P9.01</x:v>
      </x:c>
      <x:c r="E258" s="25" t="str">
        <x:v>到货质量或数量投诉</x:v>
      </x:c>
      <x:c r="F258" s="25" t="str">
        <x:v>高</x:v>
      </x:c>
      <x:c r="G258" s="25" t="str">
        <x:v>K078</x:v>
      </x:c>
      <x:c r="H258" s="25" t="str">
        <x:v>商品检验的定义</x:v>
      </x:c>
      <x:c r="I258" s="25" t="str">
        <x:v>概念</x:v>
      </x:c>
      <x:c r="J258" s="25" t="str">
        <x:v>“商品检验的定义”可用于识别、预防或处理“到货质量或数量投诉”。</x:v>
      </x:c>
      <x:c r="K258" s="26" t="str">
        <x:v>Frames a quality complaint as an inspection outcome, not only as a feeling.</x:v>
      </x:c>
    </x:row>
    <x:row r="259">
      <x:c r="A259" s="24" t="n">
        <x:v>9</x:v>
      </x:c>
      <x:c r="B259" s="25" t="str">
        <x:v>S9</x:v>
      </x:c>
      <x:c r="C259" s="25" t="str">
        <x:v>投诉、索赔与和解</x:v>
      </x:c>
      <x:c r="D259" s="25" t="str">
        <x:v>P9.01</x:v>
      </x:c>
      <x:c r="E259" s="25" t="str">
        <x:v>到货质量或数量投诉</x:v>
      </x:c>
      <x:c r="F259" s="25" t="str">
        <x:v>高</x:v>
      </x:c>
      <x:c r="G259" s="25" t="str">
        <x:v>K101</x:v>
      </x:c>
      <x:c r="H259" s="25" t="str">
        <x:v>投诉的定义与分类</x:v>
      </x:c>
      <x:c r="I259" s="25" t="str">
        <x:v>概念</x:v>
      </x:c>
      <x:c r="J259" s="25" t="str">
        <x:v>“投诉的定义与分类”可用于识别、预防或处理“到货质量或数量投诉”。</x:v>
      </x:c>
      <x:c r="K259" s="26" t="str">
        <x:v>Classifies the complaint (quality, quantity, packing) before reacting.</x:v>
      </x:c>
    </x:row>
    <x:row r="260">
      <x:c r="A260" s="24" t="n">
        <x:v>9</x:v>
      </x:c>
      <x:c r="B260" s="25" t="str">
        <x:v>S9</x:v>
      </x:c>
      <x:c r="C260" s="25" t="str">
        <x:v>投诉、索赔与和解</x:v>
      </x:c>
      <x:c r="D260" s="25" t="str">
        <x:v>P9.01</x:v>
      </x:c>
      <x:c r="E260" s="25" t="str">
        <x:v>到货质量或数量投诉</x:v>
      </x:c>
      <x:c r="F260" s="25" t="str">
        <x:v>高</x:v>
      </x:c>
      <x:c r="G260" s="25" t="str">
        <x:v>K102</x:v>
      </x:c>
      <x:c r="H260" s="25" t="str">
        <x:v>投诉处理原则与流程</x:v>
      </x:c>
      <x:c r="I260" s="25" t="str">
        <x:v>业务流程</x:v>
      </x:c>
      <x:c r="J260" s="25" t="str">
        <x:v>“投诉处理原则与流程”可用于识别、预防或处理“到货质量或数量投诉”。</x:v>
      </x:c>
      <x:c r="K260" s="26" t="str">
        <x:v>Runs the handling process: acknowledge, freeze facts, respond.</x:v>
      </x:c>
    </x:row>
    <x:row r="261">
      <x:c r="A261" s="24" t="n">
        <x:v>9</x:v>
      </x:c>
      <x:c r="B261" s="25" t="str">
        <x:v>S9</x:v>
      </x:c>
      <x:c r="C261" s="25" t="str">
        <x:v>投诉、索赔与和解</x:v>
      </x:c>
      <x:c r="D261" s="25" t="str">
        <x:v>P9.01</x:v>
      </x:c>
      <x:c r="E261" s="25" t="str">
        <x:v>到货质量或数量投诉</x:v>
      </x:c>
      <x:c r="F261" s="25" t="str">
        <x:v>高</x:v>
      </x:c>
      <x:c r="G261" s="25" t="str">
        <x:v>K111</x:v>
      </x:c>
      <x:c r="H261" s="25" t="str">
        <x:v>索赔程序</x:v>
      </x:c>
      <x:c r="I261" s="25" t="str">
        <x:v>业务流程</x:v>
      </x:c>
      <x:c r="J261" s="25" t="str">
        <x:v>“索赔程序”可用于识别、预防或处理“到货质量或数量投诉”。</x:v>
      </x:c>
      <x:c r="K261" s="26" t="str">
        <x:v>Promotes a justified complaint into a formal claim on time.</x:v>
      </x:c>
    </x:row>
    <x:row r="262">
      <x:c r="A262" s="24" t="n">
        <x:v>9</x:v>
      </x:c>
      <x:c r="B262" s="25" t="str">
        <x:v>S9</x:v>
      </x:c>
      <x:c r="C262" s="25" t="str">
        <x:v>投诉、索赔与和解</x:v>
      </x:c>
      <x:c r="D262" s="25" t="str">
        <x:v>P9.01</x:v>
      </x:c>
      <x:c r="E262" s="25" t="str">
        <x:v>到货质量或数量投诉</x:v>
      </x:c>
      <x:c r="F262" s="25" t="str">
        <x:v>高</x:v>
      </x:c>
      <x:c r="G262" s="25" t="str">
        <x:v>K112</x:v>
      </x:c>
      <x:c r="H262" s="25" t="str">
        <x:v>证据收集与证据链完整性</x:v>
      </x:c>
      <x:c r="I262" s="25" t="str">
        <x:v>业务流程</x:v>
      </x:c>
      <x:c r="J262" s="25" t="str">
        <x:v>“证据收集与证据链完整性”可用于识别、预防或处理“到货质量或数量投诉”。</x:v>
      </x:c>
      <x:c r="K262" s="26" t="str">
        <x:v>Starts the evidence file at the first email, not after positions harden.</x:v>
      </x:c>
    </x:row>
    <x:row r="263">
      <x:c r="A263" s="24" t="n">
        <x:v>9</x:v>
      </x:c>
      <x:c r="B263" s="25" t="str">
        <x:v>S9</x:v>
      </x:c>
      <x:c r="C263" s="25" t="str">
        <x:v>投诉、索赔与和解</x:v>
      </x:c>
      <x:c r="D263" s="25" t="str">
        <x:v>P9.01</x:v>
      </x:c>
      <x:c r="E263" s="25" t="str">
        <x:v>到货质量或数量投诉</x:v>
      </x:c>
      <x:c r="F263" s="25" t="str">
        <x:v>高</x:v>
      </x:c>
      <x:c r="G263" s="25" t="str">
        <x:v>K083</x:v>
      </x:c>
      <x:c r="H263" s="25" t="str">
        <x:v>检验争议与复验处理</x:v>
      </x:c>
      <x:c r="I263" s="25" t="str">
        <x:v>业务流程</x:v>
      </x:c>
      <x:c r="J263" s="25" t="str">
        <x:v>“检验争议与复验处理”可用于识别、预防或处理“到货质量或数量投诉”。</x:v>
      </x:c>
      <x:c r="K263" s="26" t="str">
        <x:v>Calls a joint survey if the complaint is an inspection result.</x:v>
      </x:c>
    </x:row>
    <x:row r="264">
      <x:c r="A264" s="24" t="n">
        <x:v>9</x:v>
      </x:c>
      <x:c r="B264" s="25" t="str">
        <x:v>S9</x:v>
      </x:c>
      <x:c r="C264" s="25" t="str">
        <x:v>投诉、索赔与和解</x:v>
      </x:c>
      <x:c r="D264" s="25" t="str">
        <x:v>P9.02</x:v>
      </x:c>
      <x:c r="E264" s="25" t="str">
        <x:v>情绪化投诉升级与声誉风险</x:v>
      </x:c>
      <x:c r="F264" s="25" t="str">
        <x:v>中</x:v>
      </x:c>
      <x:c r="G264" s="25" t="str">
        <x:v>K103</x:v>
      </x:c>
      <x:c r="H264" s="25" t="str">
        <x:v>沟通、倾听与客户服务语言</x:v>
      </x:c>
      <x:c r="I264" s="25" t="str">
        <x:v>策略</x:v>
      </x:c>
      <x:c r="J264" s="25" t="str">
        <x:v>运用“沟通、倾听与客户服务语言”应对“情绪化投诉升级与声誉风险”，把原则转化为可执行的谈判行动。</x:v>
      </x:c>
      <x:c r="K264" s="26" t="str">
        <x:v>De-escalates with listening language before arguing the file.</x:v>
      </x:c>
    </x:row>
    <x:row r="265">
      <x:c r="A265" s="24" t="n">
        <x:v>9</x:v>
      </x:c>
      <x:c r="B265" s="25" t="str">
        <x:v>S9</x:v>
      </x:c>
      <x:c r="C265" s="25" t="str">
        <x:v>投诉、索赔与和解</x:v>
      </x:c>
      <x:c r="D265" s="25" t="str">
        <x:v>P9.02</x:v>
      </x:c>
      <x:c r="E265" s="25" t="str">
        <x:v>情绪化投诉升级与声誉风险</x:v>
      </x:c>
      <x:c r="F265" s="25" t="str">
        <x:v>中</x:v>
      </x:c>
      <x:c r="G265" s="25" t="str">
        <x:v>K104</x:v>
      </x:c>
      <x:c r="H265" s="25" t="str">
        <x:v>客户心理分析与服务补救</x:v>
      </x:c>
      <x:c r="I265" s="25" t="str">
        <x:v>策略</x:v>
      </x:c>
      <x:c r="J265" s="25" t="str">
        <x:v>运用“客户心理分析与服务补救”应对“情绪化投诉升级与声誉风险”，把原则转化为可执行的谈判行动。</x:v>
      </x:c>
      <x:c r="K265" s="26" t="str">
        <x:v>Applies service recovery when the complaint is justified.</x:v>
      </x:c>
    </x:row>
    <x:row r="266">
      <x:c r="A266" s="24" t="n">
        <x:v>9</x:v>
      </x:c>
      <x:c r="B266" s="25" t="str">
        <x:v>S9</x:v>
      </x:c>
      <x:c r="C266" s="25" t="str">
        <x:v>投诉、索赔与和解</x:v>
      </x:c>
      <x:c r="D266" s="25" t="str">
        <x:v>P9.02</x:v>
      </x:c>
      <x:c r="E266" s="25" t="str">
        <x:v>情绪化投诉升级与声誉风险</x:v>
      </x:c>
      <x:c r="F266" s="25" t="str">
        <x:v>中</x:v>
      </x:c>
      <x:c r="G266" s="25" t="str">
        <x:v>K108</x:v>
      </x:c>
      <x:c r="H266" s="25" t="str">
        <x:v>投诉法律风险与声誉管理</x:v>
      </x:c>
      <x:c r="I266" s="25" t="str">
        <x:v>风险控制</x:v>
      </x:c>
      <x:c r="J266" s="25" t="str">
        <x:v>“投诉法律风险与声誉管理”可用于识别、预防或处理“情绪化投诉升级与声誉风险”。</x:v>
      </x:c>
      <x:c r="K266" s="26" t="str">
        <x:v>Splits the care channel from the legal-notice channel.</x:v>
      </x:c>
    </x:row>
    <x:row r="267">
      <x:c r="A267" s="24" t="n">
        <x:v>9</x:v>
      </x:c>
      <x:c r="B267" s="25" t="str">
        <x:v>S9</x:v>
      </x:c>
      <x:c r="C267" s="25" t="str">
        <x:v>投诉、索赔与和解</x:v>
      </x:c>
      <x:c r="D267" s="25" t="str">
        <x:v>P9.02</x:v>
      </x:c>
      <x:c r="E267" s="25" t="str">
        <x:v>情绪化投诉升级与声誉风险</x:v>
      </x:c>
      <x:c r="F267" s="25" t="str">
        <x:v>中</x:v>
      </x:c>
      <x:c r="G267" s="25" t="str">
        <x:v>K106</x:v>
      </x:c>
      <x:c r="H267" s="25" t="str">
        <x:v>投诉处理的跨文化差异</x:v>
      </x:c>
      <x:c r="I267" s="25" t="str">
        <x:v>跨文化</x:v>
      </x:c>
      <x:c r="J267" s="25" t="str">
        <x:v>“投诉处理的跨文化差异”可用于识别、预防或处理“情绪化投诉升级与声誉风险”。</x:v>
      </x:c>
      <x:c r="K267" s="26" t="str">
        <x:v>Chooses a culturally safe public vs private response.</x:v>
      </x:c>
    </x:row>
    <x:row r="268">
      <x:c r="A268" s="24" t="n">
        <x:v>9</x:v>
      </x:c>
      <x:c r="B268" s="25" t="str">
        <x:v>S9</x:v>
      </x:c>
      <x:c r="C268" s="25" t="str">
        <x:v>投诉、索赔与和解</x:v>
      </x:c>
      <x:c r="D268" s="25" t="str">
        <x:v>P9.03</x:v>
      </x:c>
      <x:c r="E268" s="25" t="str">
        <x:v>超过时效提出索赔</x:v>
      </x:c>
      <x:c r="F268" s="25" t="str">
        <x:v>高</x:v>
      </x:c>
      <x:c r="G268" s="25" t="str">
        <x:v>K113</x:v>
      </x:c>
      <x:c r="H268" s="25" t="str">
        <x:v>索赔与诉讼时效</x:v>
      </x:c>
      <x:c r="I268" s="25" t="str">
        <x:v>法律规则</x:v>
      </x:c>
      <x:c r="J268" s="25" t="str">
        <x:v>“索赔与诉讼时效”可用于识别、预防或处理“超过时效提出索赔”。</x:v>
      </x:c>
      <x:c r="K268" s="26" t="str">
        <x:v>Diaries contractual notice and statutory limitation as two clocks.</x:v>
      </x:c>
    </x:row>
    <x:row r="269">
      <x:c r="A269" s="24" t="n">
        <x:v>9</x:v>
      </x:c>
      <x:c r="B269" s="25" t="str">
        <x:v>S9</x:v>
      </x:c>
      <x:c r="C269" s="25" t="str">
        <x:v>投诉、索赔与和解</x:v>
      </x:c>
      <x:c r="D269" s="25" t="str">
        <x:v>P9.03</x:v>
      </x:c>
      <x:c r="E269" s="25" t="str">
        <x:v>超过时效提出索赔</x:v>
      </x:c>
      <x:c r="F269" s="25" t="str">
        <x:v>高</x:v>
      </x:c>
      <x:c r="G269" s="25" t="str">
        <x:v>K111</x:v>
      </x:c>
      <x:c r="H269" s="25" t="str">
        <x:v>索赔程序</x:v>
      </x:c>
      <x:c r="I269" s="25" t="str">
        <x:v>业务流程</x:v>
      </x:c>
      <x:c r="J269" s="25" t="str">
        <x:v>“索赔程序”可用于识别、预防或处理“超过时效提出索赔”。</x:v>
      </x:c>
      <x:c r="K269" s="26" t="str">
        <x:v>Shows why late filing is usually fatal.</x:v>
      </x:c>
    </x:row>
    <x:row r="270">
      <x:c r="A270" s="24" t="n">
        <x:v>9</x:v>
      </x:c>
      <x:c r="B270" s="25" t="str">
        <x:v>S9</x:v>
      </x:c>
      <x:c r="C270" s="25" t="str">
        <x:v>投诉、索赔与和解</x:v>
      </x:c>
      <x:c r="D270" s="25" t="str">
        <x:v>P9.03</x:v>
      </x:c>
      <x:c r="E270" s="25" t="str">
        <x:v>超过时效提出索赔</x:v>
      </x:c>
      <x:c r="F270" s="25" t="str">
        <x:v>高</x:v>
      </x:c>
      <x:c r="G270" s="25" t="str">
        <x:v>K110</x:v>
      </x:c>
      <x:c r="H270" s="25" t="str">
        <x:v>索赔的定义</x:v>
      </x:c>
      <x:c r="I270" s="25" t="str">
        <x:v>概念</x:v>
      </x:c>
      <x:c r="J270" s="25" t="str">
        <x:v>“索赔的定义”可用于识别、预防或处理“超过时效提出索赔”。</x:v>
      </x:c>
      <x:c r="K270" s="26" t="str">
        <x:v>Confirms whether a claim, as opposed to a complaint, was ever made.</x:v>
      </x:c>
    </x:row>
    <x:row r="271">
      <x:c r="A271" s="24" t="n">
        <x:v>9</x:v>
      </x:c>
      <x:c r="B271" s="25" t="str">
        <x:v>S9</x:v>
      </x:c>
      <x:c r="C271" s="25" t="str">
        <x:v>投诉、索赔与和解</x:v>
      </x:c>
      <x:c r="D271" s="25" t="str">
        <x:v>P9.03</x:v>
      </x:c>
      <x:c r="E271" s="25" t="str">
        <x:v>超过时效提出索赔</x:v>
      </x:c>
      <x:c r="F271" s="25" t="str">
        <x:v>高</x:v>
      </x:c>
      <x:c r="G271" s="25" t="str">
        <x:v>K098</x:v>
      </x:c>
      <x:c r="H271" s="25" t="str">
        <x:v>仲裁程序、费用与裁决执行</x:v>
      </x:c>
      <x:c r="I271" s="25" t="str">
        <x:v>业务流程</x:v>
      </x:c>
      <x:c r="J271" s="25" t="str">
        <x:v>“仲裁程序、费用与裁决执行”可用于识别、预防或处理“超过时效提出索赔”。</x:v>
      </x:c>
      <x:c r="K271" s="26" t="str">
        <x:v>If still in time for arbitration, files before the seat’s clock dies.</x:v>
      </x:c>
    </x:row>
    <x:row r="272">
      <x:c r="A272" s="24" t="n">
        <x:v>9</x:v>
      </x:c>
      <x:c r="B272" s="25" t="str">
        <x:v>S9</x:v>
      </x:c>
      <x:c r="C272" s="25" t="str">
        <x:v>投诉、索赔与和解</x:v>
      </x:c>
      <x:c r="D272" s="25" t="str">
        <x:v>P9.04</x:v>
      </x:c>
      <x:c r="E272" s="25" t="str">
        <x:v>证据链断裂</x:v>
      </x:c>
      <x:c r="F272" s="25" t="str">
        <x:v>高</x:v>
      </x:c>
      <x:c r="G272" s="25" t="str">
        <x:v>K112</x:v>
      </x:c>
      <x:c r="H272" s="25" t="str">
        <x:v>证据收集与证据链完整性</x:v>
      </x:c>
      <x:c r="I272" s="25" t="str">
        <x:v>业务流程</x:v>
      </x:c>
      <x:c r="J272" s="25" t="str">
        <x:v>“证据收集与证据链完整性”可用于识别、预防或处理“证据链断裂”。</x:v>
      </x:c>
      <x:c r="K272" s="26" t="str">
        <x:v>Rebuilds or, if broken, documents the gap honestly.</x:v>
      </x:c>
    </x:row>
    <x:row r="273">
      <x:c r="A273" s="24" t="n">
        <x:v>9</x:v>
      </x:c>
      <x:c r="B273" s="25" t="str">
        <x:v>S9</x:v>
      </x:c>
      <x:c r="C273" s="25" t="str">
        <x:v>投诉、索赔与和解</x:v>
      </x:c>
      <x:c r="D273" s="25" t="str">
        <x:v>P9.04</x:v>
      </x:c>
      <x:c r="E273" s="25" t="str">
        <x:v>证据链断裂</x:v>
      </x:c>
      <x:c r="F273" s="25" t="str">
        <x:v>高</x:v>
      </x:c>
      <x:c r="G273" s="25" t="str">
        <x:v>K082</x:v>
      </x:c>
      <x:c r="H273" s="25" t="str">
        <x:v>检验证书与单据</x:v>
      </x:c>
      <x:c r="I273" s="25" t="str">
        <x:v>业务流程</x:v>
      </x:c>
      <x:c r="J273" s="25" t="str">
        <x:v>“检验证书与单据”可用于识别、预防或处理“证据链断裂”。</x:v>
      </x:c>
      <x:c r="K273" s="26" t="str">
        <x:v>Uses inspection certificates as part of the chain.</x:v>
      </x:c>
    </x:row>
    <x:row r="274">
      <x:c r="A274" s="24" t="n">
        <x:v>9</x:v>
      </x:c>
      <x:c r="B274" s="25" t="str">
        <x:v>S9</x:v>
      </x:c>
      <x:c r="C274" s="25" t="str">
        <x:v>投诉、索赔与和解</x:v>
      </x:c>
      <x:c r="D274" s="25" t="str">
        <x:v>P9.04</x:v>
      </x:c>
      <x:c r="E274" s="25" t="str">
        <x:v>证据链断裂</x:v>
      </x:c>
      <x:c r="F274" s="25" t="str">
        <x:v>高</x:v>
      </x:c>
      <x:c r="G274" s="25" t="str">
        <x:v>K058</x:v>
      </x:c>
      <x:c r="H274" s="25" t="str">
        <x:v>装运通知与货物跟踪</x:v>
      </x:c>
      <x:c r="I274" s="25" t="str">
        <x:v>业务流程</x:v>
      </x:c>
      <x:c r="J274" s="25" t="str">
        <x:v>“装运通知与货物跟踪”可用于识别、预防或处理“证据链断裂”。</x:v>
      </x:c>
      <x:c r="K274" s="26" t="str">
        <x:v>Uses shipping advice, seals, and tracking as links.</x:v>
      </x:c>
    </x:row>
    <x:row r="275">
      <x:c r="A275" s="24" t="n">
        <x:v>9</x:v>
      </x:c>
      <x:c r="B275" s="25" t="str">
        <x:v>S9</x:v>
      </x:c>
      <x:c r="C275" s="25" t="str">
        <x:v>投诉、索赔与和解</x:v>
      </x:c>
      <x:c r="D275" s="25" t="str">
        <x:v>P9.04</x:v>
      </x:c>
      <x:c r="E275" s="25" t="str">
        <x:v>证据链断裂</x:v>
      </x:c>
      <x:c r="F275" s="25" t="str">
        <x:v>高</x:v>
      </x:c>
      <x:c r="G275" s="25" t="str">
        <x:v>K093</x:v>
      </x:c>
      <x:c r="H275" s="25" t="str">
        <x:v>投保与保险索赔程序</x:v>
      </x:c>
      <x:c r="I275" s="25" t="str">
        <x:v>业务流程</x:v>
      </x:c>
      <x:c r="J275" s="25" t="str">
        <x:v>“投保与保险索赔程序”可用于识别、预防或处理“证据链断裂”。</x:v>
      </x:c>
      <x:c r="K275" s="26" t="str">
        <x:v>Meets the insurer’s evidence list.</x:v>
      </x:c>
    </x:row>
    <x:row r="276">
      <x:c r="A276" s="24" t="n">
        <x:v>9</x:v>
      </x:c>
      <x:c r="B276" s="25" t="str">
        <x:v>S9</x:v>
      </x:c>
      <x:c r="C276" s="25" t="str">
        <x:v>投诉、索赔与和解</x:v>
      </x:c>
      <x:c r="D276" s="25" t="str">
        <x:v>P9.04</x:v>
      </x:c>
      <x:c r="E276" s="25" t="str">
        <x:v>证据链断裂</x:v>
      </x:c>
      <x:c r="F276" s="25" t="str">
        <x:v>高</x:v>
      </x:c>
      <x:c r="G276" s="25" t="str">
        <x:v>K111</x:v>
      </x:c>
      <x:c r="H276" s="25" t="str">
        <x:v>索赔程序</x:v>
      </x:c>
      <x:c r="I276" s="25" t="str">
        <x:v>业务流程</x:v>
      </x:c>
      <x:c r="J276" s="25" t="str">
        <x:v>“索赔程序”可用于识别、预防或处理“证据链断裂”。</x:v>
      </x:c>
      <x:c r="K276" s="26" t="str">
        <x:v>Will not file a quantified claim on a file that cannot prove loss.</x:v>
      </x:c>
    </x:row>
    <x:row r="277">
      <x:c r="A277" s="24" t="n">
        <x:v>9</x:v>
      </x:c>
      <x:c r="B277" s="25" t="str">
        <x:v>S9</x:v>
      </x:c>
      <x:c r="C277" s="25" t="str">
        <x:v>投诉、索赔与和解</x:v>
      </x:c>
      <x:c r="D277" s="25" t="str">
        <x:v>P9.05</x:v>
      </x:c>
      <x:c r="E277" s="25" t="str">
        <x:v>不当援引不可抗力</x:v>
      </x:c>
      <x:c r="F277" s="25" t="str">
        <x:v>高</x:v>
      </x:c>
      <x:c r="G277" s="25" t="str">
        <x:v>K114</x:v>
      </x:c>
      <x:c r="H277" s="25" t="str">
        <x:v>不可抗力条款与案例</x:v>
      </x:c>
      <x:c r="I277" s="25" t="str">
        <x:v>法律规则</x:v>
      </x:c>
      <x:c r="J277" s="25" t="str">
        <x:v>“不可抗力条款与案例”可用于识别、预防或处理“不当援引不可抗力”。</x:v>
      </x:c>
      <x:c r="K277" s="26" t="str">
        <x:v>Applies the unforeseeable/unavoidable test and the notice duty.</x:v>
      </x:c>
    </x:row>
    <x:row r="278">
      <x:c r="A278" s="24" t="n">
        <x:v>9</x:v>
      </x:c>
      <x:c r="B278" s="25" t="str">
        <x:v>S9</x:v>
      </x:c>
      <x:c r="C278" s="25" t="str">
        <x:v>投诉、索赔与和解</x:v>
      </x:c>
      <x:c r="D278" s="25" t="str">
        <x:v>P9.05</x:v>
      </x:c>
      <x:c r="E278" s="25" t="str">
        <x:v>不当援引不可抗力</x:v>
      </x:c>
      <x:c r="F278" s="25" t="str">
        <x:v>高</x:v>
      </x:c>
      <x:c r="G278" s="25" t="str">
        <x:v>K050</x:v>
      </x:c>
      <x:c r="H278" s="25" t="str">
        <x:v>合同免责条款</x:v>
      </x:c>
      <x:c r="I278" s="25" t="str">
        <x:v>法律规则</x:v>
      </x:c>
      <x:c r="J278" s="25" t="str">
        <x:v>“合同免责条款”可用于识别、预防或处理“不当援引不可抗力”。</x:v>
      </x:c>
      <x:c r="K278" s="26" t="str">
        <x:v>Reads the actual exemption clause, not a slogan.</x:v>
      </x:c>
    </x:row>
    <x:row r="279">
      <x:c r="A279" s="24" t="n">
        <x:v>9</x:v>
      </x:c>
      <x:c r="B279" s="25" t="str">
        <x:v>S9</x:v>
      </x:c>
      <x:c r="C279" s="25" t="str">
        <x:v>投诉、索赔与和解</x:v>
      </x:c>
      <x:c r="D279" s="25" t="str">
        <x:v>P9.05</x:v>
      </x:c>
      <x:c r="E279" s="25" t="str">
        <x:v>不当援引不可抗力</x:v>
      </x:c>
      <x:c r="F279" s="25" t="str">
        <x:v>高</x:v>
      </x:c>
      <x:c r="G279" s="25" t="str">
        <x:v>K074</x:v>
      </x:c>
      <x:c r="H279" s="25" t="str">
        <x:v>交付迟延与合同违约</x:v>
      </x:c>
      <x:c r="I279" s="25" t="str">
        <x:v>法律规则</x:v>
      </x:c>
      <x:c r="J279" s="25" t="str">
        <x:v>“交付迟延与合同违约”可用于识别、预防或处理“不当援引不可抗力”。</x:v>
      </x:c>
      <x:c r="K279" s="26" t="str">
        <x:v>Treats a failed FM defence as a delay breach.</x:v>
      </x:c>
    </x:row>
    <x:row r="280">
      <x:c r="A280" s="24" t="n">
        <x:v>9</x:v>
      </x:c>
      <x:c r="B280" s="25" t="str">
        <x:v>S9</x:v>
      </x:c>
      <x:c r="C280" s="25" t="str">
        <x:v>投诉、索赔与和解</x:v>
      </x:c>
      <x:c r="D280" s="25" t="str">
        <x:v>P9.05</x:v>
      </x:c>
      <x:c r="E280" s="25" t="str">
        <x:v>不当援引不可抗力</x:v>
      </x:c>
      <x:c r="F280" s="25" t="str">
        <x:v>高</x:v>
      </x:c>
      <x:c r="G280" s="25" t="str">
        <x:v>K108</x:v>
      </x:c>
      <x:c r="H280" s="25" t="str">
        <x:v>投诉法律风险与声誉管理</x:v>
      </x:c>
      <x:c r="I280" s="25" t="str">
        <x:v>风险控制</x:v>
      </x:c>
      <x:c r="J280" s="25" t="str">
        <x:v>“投诉法律风险与声誉管理”可用于识别、预防或处理“不当援引不可抗力”。</x:v>
      </x:c>
      <x:c r="K280" s="26" t="str">
        <x:v>Avoids public FM claims that later look like admissions of non-performance.</x:v>
      </x:c>
    </x:row>
    <x:row r="281">
      <x:c r="A281" s="24" t="n">
        <x:v>9</x:v>
      </x:c>
      <x:c r="B281" s="25" t="str">
        <x:v>S9</x:v>
      </x:c>
      <x:c r="C281" s="25" t="str">
        <x:v>投诉、索赔与和解</x:v>
      </x:c>
      <x:c r="D281" s="25" t="str">
        <x:v>P9.06</x:v>
      </x:c>
      <x:c r="E281" s="25" t="str">
        <x:v>赔偿金额谈判僵局</x:v>
      </x:c>
      <x:c r="F281" s="25" t="str">
        <x:v>中</x:v>
      </x:c>
      <x:c r="G281" s="25" t="str">
        <x:v>K115</x:v>
      </x:c>
      <x:c r="H281" s="25" t="str">
        <x:v>赔偿金额计算</x:v>
      </x:c>
      <x:c r="I281" s="25" t="str">
        <x:v>业务流程</x:v>
      </x:c>
      <x:c r="J281" s="25" t="str">
        <x:v>“赔偿金额计算”可用于识别、预防或处理“赔偿金额谈判僵局”。</x:v>
      </x:c>
      <x:c r="K281" s="26" t="str">
        <x:v>Puts an auditable Art. 74 calculation on the table.</x:v>
      </x:c>
    </x:row>
    <x:row r="282">
      <x:c r="A282" s="24" t="n">
        <x:v>9</x:v>
      </x:c>
      <x:c r="B282" s="25" t="str">
        <x:v>S9</x:v>
      </x:c>
      <x:c r="C282" s="25" t="str">
        <x:v>投诉、索赔与和解</x:v>
      </x:c>
      <x:c r="D282" s="25" t="str">
        <x:v>P9.06</x:v>
      </x:c>
      <x:c r="E282" s="25" t="str">
        <x:v>赔偿金额谈判僵局</x:v>
      </x:c>
      <x:c r="F282" s="25" t="str">
        <x:v>中</x:v>
      </x:c>
      <x:c r="G282" s="25" t="str">
        <x:v>K118</x:v>
      </x:c>
      <x:c r="H282" s="25" t="str">
        <x:v>索赔谈判、和解、调解与诉讼</x:v>
      </x:c>
      <x:c r="I282" s="25" t="str">
        <x:v>策略</x:v>
      </x:c>
      <x:c r="J282" s="25" t="str">
        <x:v>运用“索赔谈判、和解、调解与诉讼”应对“赔偿金额谈判僵局”，把原则转化为可执行的谈判行动。</x:v>
      </x:c>
      <x:c r="K282" s="26" t="str">
        <x:v>Negotiates quantum with a BATNA of mediation or arbitration.</x:v>
      </x:c>
    </x:row>
    <x:row r="283">
      <x:c r="A283" s="24" t="n">
        <x:v>9</x:v>
      </x:c>
      <x:c r="B283" s="25" t="str">
        <x:v>S9</x:v>
      </x:c>
      <x:c r="C283" s="25" t="str">
        <x:v>投诉、索赔与和解</x:v>
      </x:c>
      <x:c r="D283" s="25" t="str">
        <x:v>P9.06</x:v>
      </x:c>
      <x:c r="E283" s="25" t="str">
        <x:v>赔偿金额谈判僵局</x:v>
      </x:c>
      <x:c r="F283" s="25" t="str">
        <x:v>中</x:v>
      </x:c>
      <x:c r="G283" s="25" t="str">
        <x:v>K109</x:v>
      </x:c>
      <x:c r="H283" s="25" t="str">
        <x:v>根因分析与争议调解</x:v>
      </x:c>
      <x:c r="I283" s="25" t="str">
        <x:v>业务流程</x:v>
      </x:c>
      <x:c r="J283" s="25" t="str">
        <x:v>“根因分析与争议调解”可用于识别、预防或处理“赔偿金额谈判僵局”。</x:v>
      </x:c>
      <x:c r="K283" s="26" t="str">
        <x:v>Offers mediation when liability is agreed but numbers are not.</x:v>
      </x:c>
    </x:row>
    <x:row r="284">
      <x:c r="A284" s="24" t="n">
        <x:v>9</x:v>
      </x:c>
      <x:c r="B284" s="25" t="str">
        <x:v>S9</x:v>
      </x:c>
      <x:c r="C284" s="25" t="str">
        <x:v>投诉、索赔与和解</x:v>
      </x:c>
      <x:c r="D284" s="25" t="str">
        <x:v>P9.06</x:v>
      </x:c>
      <x:c r="E284" s="25" t="str">
        <x:v>赔偿金额谈判僵局</x:v>
      </x:c>
      <x:c r="F284" s="25" t="str">
        <x:v>中</x:v>
      </x:c>
      <x:c r="G284" s="25" t="str">
        <x:v>K030</x:v>
      </x:c>
      <x:c r="H284" s="25" t="str">
        <x:v>互惠让步策略</x:v>
      </x:c>
      <x:c r="I284" s="25" t="str">
        <x:v>策略</x:v>
      </x:c>
      <x:c r="J284" s="25" t="str">
        <x:v>运用“互惠让步策略”应对“赔偿金额谈判僵局”，把原则转化为可执行的谈判行动。</x:v>
      </x:c>
      <x:c r="K284" s="26" t="str">
        <x:v>Trades payment timing, currency, or volume against the claim amount.</x:v>
      </x:c>
    </x:row>
    <x:row r="285">
      <x:c r="A285" s="24" t="n">
        <x:v>9</x:v>
      </x:c>
      <x:c r="B285" s="25" t="str">
        <x:v>S9</x:v>
      </x:c>
      <x:c r="C285" s="25" t="str">
        <x:v>投诉、索赔与和解</x:v>
      </x:c>
      <x:c r="D285" s="25" t="str">
        <x:v>P9.06</x:v>
      </x:c>
      <x:c r="E285" s="25" t="str">
        <x:v>赔偿金额谈判僵局</x:v>
      </x:c>
      <x:c r="F285" s="25" t="str">
        <x:v>中</x:v>
      </x:c>
      <x:c r="G285" s="25" t="str">
        <x:v>K104</x:v>
      </x:c>
      <x:c r="H285" s="25" t="str">
        <x:v>客户心理分析与服务补救</x:v>
      </x:c>
      <x:c r="I285" s="25" t="str">
        <x:v>策略</x:v>
      </x:c>
      <x:c r="J285" s="25" t="str">
        <x:v>运用“客户心理分析与服务补救”应对“赔偿金额谈判僵局”，把原则转化为可执行的谈判行动。</x:v>
      </x:c>
      <x:c r="K285" s="26" t="str">
        <x:v>Uses a recovery gesture when the commercial relationship still has value.</x:v>
      </x:c>
    </x:row>
    <x:row r="286">
      <x:c r="A286" s="24" t="n">
        <x:v>9</x:v>
      </x:c>
      <x:c r="B286" s="25" t="str">
        <x:v>S9</x:v>
      </x:c>
      <x:c r="C286" s="25" t="str">
        <x:v>投诉、索赔与和解</x:v>
      </x:c>
      <x:c r="D286" s="25" t="str">
        <x:v>P9.07</x:v>
      </x:c>
      <x:c r="E286" s="25" t="str">
        <x:v>承运人与卖方责任混淆</x:v>
      </x:c>
      <x:c r="F286" s="25" t="str">
        <x:v>高</x:v>
      </x:c>
      <x:c r="G286" s="25" t="str">
        <x:v>K117</x:v>
      </x:c>
      <x:c r="H286" s="25" t="str">
        <x:v>承运人责任与事故处理</x:v>
      </x:c>
      <x:c r="I286" s="25" t="str">
        <x:v>法律规则</x:v>
      </x:c>
      <x:c r="J286" s="25" t="str">
        <x:v>“承运人责任与事故处理”可用于识别、预防或处理“承运人与卖方责任混淆”。</x:v>
      </x:c>
      <x:c r="K286" s="26" t="str">
        <x:v>Identifies the proper defendant under Incoterms and the B/L.</x:v>
      </x:c>
    </x:row>
    <x:row r="287">
      <x:c r="A287" s="24" t="n">
        <x:v>9</x:v>
      </x:c>
      <x:c r="B287" s="25" t="str">
        <x:v>S9</x:v>
      </x:c>
      <x:c r="C287" s="25" t="str">
        <x:v>投诉、索赔与和解</x:v>
      </x:c>
      <x:c r="D287" s="25" t="str">
        <x:v>P9.07</x:v>
      </x:c>
      <x:c r="E287" s="25" t="str">
        <x:v>承运人与卖方责任混淆</x:v>
      </x:c>
      <x:c r="F287" s="25" t="str">
        <x:v>高</x:v>
      </x:c>
      <x:c r="G287" s="25" t="str">
        <x:v>K064</x:v>
      </x:c>
      <x:c r="H287" s="25" t="str">
        <x:v>装运风险管理</x:v>
      </x:c>
      <x:c r="I287" s="25" t="str">
        <x:v>风险控制</x:v>
      </x:c>
      <x:c r="J287" s="25" t="str">
        <x:v>“装运风险管理”可用于识别、预防或处理“承运人与卖方责任混淆”。</x:v>
      </x:c>
      <x:c r="K287" s="26" t="str">
        <x:v>Maps whether the loss is a shipping risk already allocated.</x:v>
      </x:c>
    </x:row>
    <x:row r="288">
      <x:c r="A288" s="24" t="n">
        <x:v>9</x:v>
      </x:c>
      <x:c r="B288" s="25" t="str">
        <x:v>S9</x:v>
      </x:c>
      <x:c r="C288" s="25" t="str">
        <x:v>投诉、索赔与和解</x:v>
      </x:c>
      <x:c r="D288" s="25" t="str">
        <x:v>P9.07</x:v>
      </x:c>
      <x:c r="E288" s="25" t="str">
        <x:v>承运人与卖方责任混淆</x:v>
      </x:c>
      <x:c r="F288" s="25" t="str">
        <x:v>高</x:v>
      </x:c>
      <x:c r="G288" s="25" t="str">
        <x:v>K071</x:v>
      </x:c>
      <x:c r="H288" s="25" t="str">
        <x:v>交付条件与验收标准</x:v>
      </x:c>
      <x:c r="I288" s="25" t="str">
        <x:v>法律规则</x:v>
      </x:c>
      <x:c r="J288" s="25" t="str">
        <x:v>“交付条件与验收标准”可用于识别、预防或处理“承运人与卖方责任混淆”。</x:v>
      </x:c>
      <x:c r="K288" s="26" t="str">
        <x:v>Fixes the delivery point at which risk passed.</x:v>
      </x:c>
    </x:row>
    <x:row r="289">
      <x:c r="A289" s="24" t="n">
        <x:v>9</x:v>
      </x:c>
      <x:c r="B289" s="25" t="str">
        <x:v>S9</x:v>
      </x:c>
      <x:c r="C289" s="25" t="str">
        <x:v>投诉、索赔与和解</x:v>
      </x:c>
      <x:c r="D289" s="25" t="str">
        <x:v>P9.07</x:v>
      </x:c>
      <x:c r="E289" s="25" t="str">
        <x:v>承运人与卖方责任混淆</x:v>
      </x:c>
      <x:c r="F289" s="25" t="str">
        <x:v>高</x:v>
      </x:c>
      <x:c r="G289" s="25" t="str">
        <x:v>K090</x:v>
      </x:c>
      <x:c r="H289" s="25" t="str">
        <x:v>货物运输保险的定义</x:v>
      </x:c>
      <x:c r="I289" s="25" t="str">
        <x:v>概念</x:v>
      </x:c>
      <x:c r="J289" s="25" t="str">
        <x:v>“货物运输保险的定义”可用于识别、预防或处理“承运人与卖方责任混淆”。</x:v>
      </x:c>
      <x:c r="K289" s="26" t="str">
        <x:v>Sends the transit peril to the insurer, not to the seller’s QA team.</x:v>
      </x:c>
    </x:row>
    <x:row r="290">
      <x:c r="A290" s="24" t="n">
        <x:v>9</x:v>
      </x:c>
      <x:c r="B290" s="25" t="str">
        <x:v>S9</x:v>
      </x:c>
      <x:c r="C290" s="25" t="str">
        <x:v>投诉、索赔与和解</x:v>
      </x:c>
      <x:c r="D290" s="25" t="str">
        <x:v>P9.07</x:v>
      </x:c>
      <x:c r="E290" s="25" t="str">
        <x:v>承运人与卖方责任混淆</x:v>
      </x:c>
      <x:c r="F290" s="25" t="str">
        <x:v>高</x:v>
      </x:c>
      <x:c r="G290" s="25" t="str">
        <x:v>K016</x:v>
      </x:c>
      <x:c r="H290" s="25" t="str">
        <x:v>FOB 条件</x:v>
      </x:c>
      <x:c r="I290" s="25" t="str">
        <x:v>法律规则</x:v>
      </x:c>
      <x:c r="J290" s="25" t="str">
        <x:v>“FOB 条件”可用于识别、预防或处理“承运人与卖方责任混淆”。</x:v>
      </x:c>
      <x:c r="K290" s="26" t="str">
        <x:v>Under FOB, stops a post-rail loss being claimed against the seller.</x:v>
      </x:c>
    </x:row>
    <x:row r="291">
      <x:c r="A291" s="24" t="n">
        <x:v>9</x:v>
      </x:c>
      <x:c r="B291" s="25" t="str">
        <x:v>S9</x:v>
      </x:c>
      <x:c r="C291" s="25" t="str">
        <x:v>投诉、索赔与和解</x:v>
      </x:c>
      <x:c r="D291" s="25" t="str">
        <x:v>P9.08</x:v>
      </x:c>
      <x:c r="E291" s="25" t="str">
        <x:v>跨文化投诉处理失当</x:v>
      </x:c>
      <x:c r="F291" s="25" t="str">
        <x:v>中</x:v>
      </x:c>
      <x:c r="G291" s="25" t="str">
        <x:v>K106</x:v>
      </x:c>
      <x:c r="H291" s="25" t="str">
        <x:v>投诉处理的跨文化差异</x:v>
      </x:c>
      <x:c r="I291" s="25" t="str">
        <x:v>跨文化</x:v>
      </x:c>
      <x:c r="J291" s="25" t="str">
        <x:v>“投诉处理的跨文化差异”可用于识别、预防或处理“跨文化投诉处理失当”。</x:v>
      </x:c>
      <x:c r="K291" s="26" t="str">
        <x:v>Selects the complaint script for the counterpart’s culture.</x:v>
      </x:c>
    </x:row>
    <x:row r="292">
      <x:c r="A292" s="24" t="n">
        <x:v>9</x:v>
      </x:c>
      <x:c r="B292" s="25" t="str">
        <x:v>S9</x:v>
      </x:c>
      <x:c r="C292" s="25" t="str">
        <x:v>投诉、索赔与和解</x:v>
      </x:c>
      <x:c r="D292" s="25" t="str">
        <x:v>P9.08</x:v>
      </x:c>
      <x:c r="E292" s="25" t="str">
        <x:v>跨文化投诉处理失当</x:v>
      </x:c>
      <x:c r="F292" s="25" t="str">
        <x:v>中</x:v>
      </x:c>
      <x:c r="G292" s="25" t="str">
        <x:v>K116</x:v>
      </x:c>
      <x:c r="H292" s="25" t="str">
        <x:v>索赔与和解的跨文化差异</x:v>
      </x:c>
      <x:c r="I292" s="25" t="str">
        <x:v>跨文化</x:v>
      </x:c>
      <x:c r="J292" s="25" t="str">
        <x:v>“索赔与和解的跨文化差异”可用于识别、预防或处理“跨文化投诉处理失当”。</x:v>
      </x:c>
      <x:c r="K292" s="26" t="str">
        <x:v>Selects the claim-opening tone the same way.</x:v>
      </x:c>
    </x:row>
    <x:row r="293">
      <x:c r="A293" s="24" t="n">
        <x:v>9</x:v>
      </x:c>
      <x:c r="B293" s="25" t="str">
        <x:v>S9</x:v>
      </x:c>
      <x:c r="C293" s="25" t="str">
        <x:v>投诉、索赔与和解</x:v>
      </x:c>
      <x:c r="D293" s="25" t="str">
        <x:v>P9.08</x:v>
      </x:c>
      <x:c r="E293" s="25" t="str">
        <x:v>跨文化投诉处理失当</x:v>
      </x:c>
      <x:c r="F293" s="25" t="str">
        <x:v>中</x:v>
      </x:c>
      <x:c r="G293" s="25" t="str">
        <x:v>K103</x:v>
      </x:c>
      <x:c r="H293" s="25" t="str">
        <x:v>沟通、倾听与客户服务语言</x:v>
      </x:c>
      <x:c r="I293" s="25" t="str">
        <x:v>策略</x:v>
      </x:c>
      <x:c r="J293" s="25" t="str">
        <x:v>运用“沟通、倾听与客户服务语言”应对“跨文化投诉处理失当”，把原则转化为可执行的谈判行动。</x:v>
      </x:c>
      <x:c r="K293" s="26" t="str">
        <x:v>Keeps listening language even when the legal answer is no.</x:v>
      </x:c>
    </x:row>
    <x:row r="294">
      <x:c r="A294" s="24" t="n">
        <x:v>9</x:v>
      </x:c>
      <x:c r="B294" s="25" t="str">
        <x:v>S9</x:v>
      </x:c>
      <x:c r="C294" s="25" t="str">
        <x:v>投诉、索赔与和解</x:v>
      </x:c>
      <x:c r="D294" s="25" t="str">
        <x:v>P9.08</x:v>
      </x:c>
      <x:c r="E294" s="25" t="str">
        <x:v>跨文化投诉处理失当</x:v>
      </x:c>
      <x:c r="F294" s="25" t="str">
        <x:v>中</x:v>
      </x:c>
      <x:c r="G294" s="25" t="str">
        <x:v>K036</x:v>
      </x:c>
      <x:c r="H294" s="25" t="str">
        <x:v>还盘心理与保全面子策略</x:v>
      </x:c>
      <x:c r="I294" s="25" t="str">
        <x:v>策略</x:v>
      </x:c>
      <x:c r="J294" s="25" t="str">
        <x:v>运用“还盘心理与保全面子策略”应对“跨文化投诉处理失当”，把原则转化为可执行的谈判行动。</x:v>
      </x:c>
      <x:c r="K294" s="26" t="str">
        <x:v>Applies saving-face so a 'no' does not end the account.</x:v>
      </x:c>
    </x:row>
    <x:row r="295">
      <x:c r="A295" s="24" t="n">
        <x:v>9</x:v>
      </x:c>
      <x:c r="B295" s="25" t="str">
        <x:v>S9</x:v>
      </x:c>
      <x:c r="C295" s="25" t="str">
        <x:v>投诉、索赔与和解</x:v>
      </x:c>
      <x:c r="D295" s="25" t="str">
        <x:v>P9.09</x:v>
      </x:c>
      <x:c r="E295" s="25" t="str">
        <x:v>重复投诉但未解决根因</x:v>
      </x:c>
      <x:c r="F295" s="25" t="str">
        <x:v>中</x:v>
      </x:c>
      <x:c r="G295" s="25" t="str">
        <x:v>K109</x:v>
      </x:c>
      <x:c r="H295" s="25" t="str">
        <x:v>根因分析与争议调解</x:v>
      </x:c>
      <x:c r="I295" s="25" t="str">
        <x:v>业务流程</x:v>
      </x:c>
      <x:c r="J295" s="25" t="str">
        <x:v>“根因分析与争议调解”可用于识别、预防或处理“重复投诉但未解决根因”。</x:v>
      </x:c>
      <x:c r="K295" s="26" t="str">
        <x:v>Forces 5-Why / fishbone and a mediation path for the pattern.</x:v>
      </x:c>
    </x:row>
    <x:row r="296">
      <x:c r="A296" s="24" t="n">
        <x:v>9</x:v>
      </x:c>
      <x:c r="B296" s="25" t="str">
        <x:v>S9</x:v>
      </x:c>
      <x:c r="C296" s="25" t="str">
        <x:v>投诉、索赔与和解</x:v>
      </x:c>
      <x:c r="D296" s="25" t="str">
        <x:v>P9.09</x:v>
      </x:c>
      <x:c r="E296" s="25" t="str">
        <x:v>重复投诉但未解决根因</x:v>
      </x:c>
      <x:c r="F296" s="25" t="str">
        <x:v>中</x:v>
      </x:c>
      <x:c r="G296" s="25" t="str">
        <x:v>K105</x:v>
      </x:c>
      <x:c r="H296" s="25" t="str">
        <x:v>投诉预防、记录与反馈机制</x:v>
      </x:c>
      <x:c r="I296" s="25" t="str">
        <x:v>业务流程</x:v>
      </x:c>
      <x:c r="J296" s="25" t="str">
        <x:v>“投诉预防、记录与反馈机制”可用于识别、预防或处理“重复投诉但未解决根因”。</x:v>
      </x:c>
      <x:c r="K296" s="26" t="str">
        <x:v>Logs, tags, and feeds the defect back into operations.</x:v>
      </x:c>
    </x:row>
    <x:row r="297">
      <x:c r="A297" s="24" t="n">
        <x:v>9</x:v>
      </x:c>
      <x:c r="B297" s="25" t="str">
        <x:v>S9</x:v>
      </x:c>
      <x:c r="C297" s="25" t="str">
        <x:v>投诉、索赔与和解</x:v>
      </x:c>
      <x:c r="D297" s="25" t="str">
        <x:v>P9.09</x:v>
      </x:c>
      <x:c r="E297" s="25" t="str">
        <x:v>重复投诉但未解决根因</x:v>
      </x:c>
      <x:c r="F297" s="25" t="str">
        <x:v>中</x:v>
      </x:c>
      <x:c r="G297" s="25" t="str">
        <x:v>K107</x:v>
      </x:c>
      <x:c r="H297" s="25" t="str">
        <x:v>客户满意度评估</x:v>
      </x:c>
      <x:c r="I297" s="25" t="str">
        <x:v>业务流程</x:v>
      </x:c>
      <x:c r="J297" s="25" t="str">
        <x:v>“客户满意度评估”可用于识别、预防或处理“重复投诉但未解决根因”。</x:v>
      </x:c>
      <x:c r="K297" s="26" t="str">
        <x:v>Checks whether 'closed' complaints actually restored the account.</x:v>
      </x:c>
    </x:row>
    <x:row r="298">
      <x:c r="A298" s="24" t="n">
        <x:v>9</x:v>
      </x:c>
      <x:c r="B298" s="25" t="str">
        <x:v>S9</x:v>
      </x:c>
      <x:c r="C298" s="25" t="str">
        <x:v>投诉、索赔与和解</x:v>
      </x:c>
      <x:c r="D298" s="25" t="str">
        <x:v>P9.09</x:v>
      </x:c>
      <x:c r="E298" s="25" t="str">
        <x:v>重复投诉但未解决根因</x:v>
      </x:c>
      <x:c r="F298" s="25" t="str">
        <x:v>中</x:v>
      </x:c>
      <x:c r="G298" s="25" t="str">
        <x:v>K051</x:v>
      </x:c>
      <x:c r="H298" s="25" t="str">
        <x:v>质量保证与售后服务</x:v>
      </x:c>
      <x:c r="I298" s="25" t="str">
        <x:v>业务流程</x:v>
      </x:c>
      <x:c r="J298" s="25" t="str">
        <x:v>“质量保证与售后服务”可用于识别、预防或处理“重复投诉但未解决根因”。</x:v>
      </x:c>
      <x:c r="K298" s="26" t="str">
        <x:v>Hardens QA and after-sales so the same defect cannot recur.</x:v>
      </x:c>
    </x:row>
    <x:row r="299">
      <x:c r="A299" s="27" t="n">
        <x:v>9</x:v>
      </x:c>
      <x:c r="B299" s="28" t="str">
        <x:v>S9</x:v>
      </x:c>
      <x:c r="C299" s="28" t="str">
        <x:v>投诉、索赔与和解</x:v>
      </x:c>
      <x:c r="D299" s="28" t="str">
        <x:v>P9.09</x:v>
      </x:c>
      <x:c r="E299" s="28" t="str">
        <x:v>重复投诉但未解决根因</x:v>
      </x:c>
      <x:c r="F299" s="28" t="str">
        <x:v>中</x:v>
      </x:c>
      <x:c r="G299" s="28" t="str">
        <x:v>K102</x:v>
      </x:c>
      <x:c r="H299" s="28" t="str">
        <x:v>投诉处理原则与流程</x:v>
      </x:c>
      <x:c r="I299" s="28" t="str">
        <x:v>业务流程</x:v>
      </x:c>
      <x:c r="J299" s="28" t="str">
        <x:v>“投诉处理原则与流程”可用于识别、预防或处理“重复投诉但未解决根因”。</x:v>
      </x:c>
      <x:c r="K299" s="29" t="str">
        <x:v>Stops treating each repeat as a brand-new case.</x:v>
      </x:c>
    </x:row>
  </x:sheetData>
  <x:pageMargins left="0.7" right="0.7" top="0.75" bottom="0.75" header="0.3" footer="0.3"/>
  <x:tableParts count="1">
    <x:tablePart xmlns:r="http://schemas.openxmlformats.org/officeDocument/2006/relationships" r:id="R3ae0da6ab78c49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6" hidden="0" customWidth="1"/>
    <x:col min="4" max="4" width="14" hidden="0" customWidth="1"/>
    <x:col min="5" max="5" width="18" hidden="0" customWidth="1"/>
    <x:col min="6" max="6" width="12" hidden="0" customWidth="1"/>
    <x:col min="7" max="7" width="34" hidden="0" customWidth="1"/>
    <x:col min="8" max="8" width="72" hidden="0" customWidth="1"/>
    <x:col min="9" max="9" width="42" hidden="0" customWidth="1"/>
  </x:cols>
  <x:sheetData>
    <x:row r="1" ht="30" customHeight="1">
      <x:c r="A1" s="21" t="str">
        <x:v>知识ID</x:v>
      </x:c>
      <x:c r="B1" s="22" t="str">
        <x:v>中文名称</x:v>
      </x:c>
      <x:c r="C1" s="22" t="str">
        <x:v>英文名称</x:v>
      </x:c>
      <x:c r="D1" s="22" t="str">
        <x:v>类型</x:v>
      </x:c>
      <x:c r="E1" s="22" t="str">
        <x:v>归属主题</x:v>
      </x:c>
      <x:c r="F1" s="22" t="str">
        <x:v>服务现象数</x:v>
      </x:c>
      <x:c r="G1" s="22" t="str">
        <x:v>关联现象ID</x:v>
      </x:c>
      <x:c r="H1" s="22" t="str">
        <x:v>关联现象</x:v>
      </x:c>
      <x:c r="I1" s="23" t="str">
        <x:v>复用主题</x:v>
      </x:c>
    </x:row>
    <x:row r="2">
      <x:c r="A2" s="24" t="str">
        <x:v>K001</x:v>
      </x:c>
      <x:c r="B2" s="25" t="str">
        <x:v>询盘的定义</x:v>
      </x:c>
      <x:c r="C2" s="25" t="str">
        <x:v>Definition of inquiries</x:v>
      </x:c>
      <x:c r="D2" s="25" t="str">
        <x:v>概念</x:v>
      </x:c>
      <x:c r="E2" s="25" t="str">
        <x:v>询盘</x:v>
      </x:c>
      <x:c r="F2" s="25" t="n">
        <x:v>1</x:v>
      </x:c>
      <x:c r="G2" s="25" t="str">
        <x:v>P1.01</x:v>
      </x:c>
      <x:c r="H2" s="25" t="str">
        <x:v>试探性询盘</x:v>
      </x:c>
      <x:c r="I2" s="26" t="str">
        <x:v>询盘</x:v>
      </x:c>
    </x:row>
    <x:row r="3">
      <x:c r="A3" s="24" t="str">
        <x:v>K002</x:v>
      </x:c>
      <x:c r="B3" s="25" t="str">
        <x:v>询盘的类型</x:v>
      </x:c>
      <x:c r="C3" s="25" t="str">
        <x:v>Types of inquiries</x:v>
      </x:c>
      <x:c r="D3" s="25" t="str">
        <x:v>概念</x:v>
      </x:c>
      <x:c r="E3" s="25" t="str">
        <x:v>询盘</x:v>
      </x:c>
      <x:c r="F3" s="25" t="n">
        <x:v>3</x:v>
      </x:c>
      <x:c r="G3" s="25" t="str">
        <x:v>P1.01, P1.02, P1.07</x:v>
      </x:c>
      <x:c r="H3" s="25" t="str">
        <x:v>试探性询盘；询盘要素不完整；未调研即询盘</x:v>
      </x:c>
      <x:c r="I3" s="26" t="str">
        <x:v>询盘</x:v>
      </x:c>
    </x:row>
    <x:row r="4">
      <x:c r="A4" s="24" t="str">
        <x:v>K003</x:v>
      </x:c>
      <x:c r="B4" s="25" t="str">
        <x:v>询盘的法律性质</x:v>
      </x:c>
      <x:c r="C4" s="25" t="str">
        <x:v>Legal nature of inquiries</x:v>
      </x:c>
      <x:c r="D4" s="25" t="str">
        <x:v>法律规则</x:v>
      </x:c>
      <x:c r="E4" s="25" t="str">
        <x:v>询盘</x:v>
      </x:c>
      <x:c r="F4" s="25" t="n">
        <x:v>2</x:v>
      </x:c>
      <x:c r="G4" s="25" t="str">
        <x:v>P1.01, P1.04</x:v>
      </x:c>
      <x:c r="H4" s="25" t="str">
        <x:v>试探性询盘；询盘意外构成发盘</x:v>
      </x:c>
      <x:c r="I4" s="26" t="str">
        <x:v>询盘</x:v>
      </x:c>
    </x:row>
    <x:row r="5">
      <x:c r="A5" s="24" t="str">
        <x:v>K004</x:v>
      </x:c>
      <x:c r="B5" s="25" t="str">
        <x:v>询盘向发盘的转化</x:v>
      </x:c>
      <x:c r="C5" s="25" t="str">
        <x:v>Conversion from inquiry to offer</x:v>
      </x:c>
      <x:c r="D5" s="25" t="str">
        <x:v>法律规则</x:v>
      </x:c>
      <x:c r="E5" s="25" t="str">
        <x:v>询盘</x:v>
      </x:c>
      <x:c r="F5" s="25" t="n">
        <x:v>1</x:v>
      </x:c>
      <x:c r="G5" s="25" t="str">
        <x:v>P1.04</x:v>
      </x:c>
      <x:c r="H5" s="25" t="str">
        <x:v>询盘意外构成发盘</x:v>
      </x:c>
      <x:c r="I5" s="26" t="str">
        <x:v>询盘</x:v>
      </x:c>
    </x:row>
    <x:row r="6">
      <x:c r="A6" s="24" t="str">
        <x:v>K005</x:v>
      </x:c>
      <x:c r="B6" s="25" t="str">
        <x:v>宽泛询盘策略</x:v>
      </x:c>
      <x:c r="C6" s="25" t="str">
        <x:v>Broad inquiry strategy</x:v>
      </x:c>
      <x:c r="D6" s="25" t="str">
        <x:v>策略</x:v>
      </x:c>
      <x:c r="E6" s="25" t="str">
        <x:v>询盘</x:v>
      </x:c>
      <x:c r="F6" s="25" t="n">
        <x:v>3</x:v>
      </x:c>
      <x:c r="G6" s="25" t="str">
        <x:v>P1.01, P1.03, P1.06</x:v>
      </x:c>
      <x:c r="H6" s="25" t="str">
        <x:v>试探性询盘；多供应商询价泛滥；隐瞒数量只问价格</x:v>
      </x:c>
      <x:c r="I6" s="26" t="str">
        <x:v>询盘</x:v>
      </x:c>
    </x:row>
    <x:row r="7">
      <x:c r="A7" s="24" t="str">
        <x:v>K006</x:v>
      </x:c>
      <x:c r="B7" s="25" t="str">
        <x:v>精准询盘策略</x:v>
      </x:c>
      <x:c r="C7" s="25" t="str">
        <x:v>Precise inquiry strategy</x:v>
      </x:c>
      <x:c r="D7" s="25" t="str">
        <x:v>策略</x:v>
      </x:c>
      <x:c r="E7" s="25" t="str">
        <x:v>询盘</x:v>
      </x:c>
      <x:c r="F7" s="25" t="n">
        <x:v>2</x:v>
      </x:c>
      <x:c r="G7" s="25" t="str">
        <x:v>P1.02, P1.06</x:v>
      </x:c>
      <x:c r="H7" s="25" t="str">
        <x:v>询盘要素不完整；隐瞒数量只问价格</x:v>
      </x:c>
      <x:c r="I7" s="26" t="str">
        <x:v>询盘</x:v>
      </x:c>
    </x:row>
    <x:row r="8">
      <x:c r="A8" s="24" t="str">
        <x:v>K007</x:v>
      </x:c>
      <x:c r="B8" s="25" t="str">
        <x:v>询盘礼仪与跨文化差异</x:v>
      </x:c>
      <x:c r="C8" s="25" t="str">
        <x:v>Inquiry etiquette and cross-cultural differences</x:v>
      </x:c>
      <x:c r="D8" s="25" t="str">
        <x:v>跨文化</x:v>
      </x:c>
      <x:c r="E8" s="25" t="str">
        <x:v>询盘</x:v>
      </x:c>
      <x:c r="F8" s="25" t="n">
        <x:v>3</x:v>
      </x:c>
      <x:c r="G8" s="25" t="str">
        <x:v>P1.05, P3.05, P5.08</x:v>
      </x:c>
      <x:c r="H8" s="25" t="str">
        <x:v>首次接触礼仪失当；威胁对方面子的谈判；包装色彩或符号触犯文化禁忌</x:v>
      </x:c>
      <x:c r="I8" s="26" t="str">
        <x:v>询盘；还盘；包装与装运</x:v>
      </x:c>
    </x:row>
    <x:row r="9">
      <x:c r="A9" s="24" t="str">
        <x:v>K008</x:v>
      </x:c>
      <x:c r="B9" s="25" t="str">
        <x:v>询盘函结构与语言</x:v>
      </x:c>
      <x:c r="C9" s="25" t="str">
        <x:v>Structure and language of inquiry correspondence</x:v>
      </x:c>
      <x:c r="D9" s="25" t="str">
        <x:v>商务函电</x:v>
      </x:c>
      <x:c r="E9" s="25" t="str">
        <x:v>询盘</x:v>
      </x:c>
      <x:c r="F9" s="25" t="n">
        <x:v>3</x:v>
      </x:c>
      <x:c r="G9" s="25" t="str">
        <x:v>P1.02, P1.04, P1.05</x:v>
      </x:c>
      <x:c r="H9" s="25" t="str">
        <x:v>询盘要素不完整；询盘意外构成发盘；首次接触礼仪失当</x:v>
      </x:c>
      <x:c r="I9" s="26" t="str">
        <x:v>询盘</x:v>
      </x:c>
    </x:row>
    <x:row r="10">
      <x:c r="A10" s="24" t="str">
        <x:v>K009</x:v>
      </x:c>
      <x:c r="B10" s="25" t="str">
        <x:v>询盘渠道与工具</x:v>
      </x:c>
      <x:c r="C10" s="25" t="str">
        <x:v>Inquiry channels and tools</x:v>
      </x:c>
      <x:c r="D10" s="25" t="str">
        <x:v>业务流程</x:v>
      </x:c>
      <x:c r="E10" s="25" t="str">
        <x:v>询盘</x:v>
      </x:c>
      <x:c r="F10" s="25" t="n">
        <x:v>2</x:v>
      </x:c>
      <x:c r="G10" s="25" t="str">
        <x:v>P1.03, P1.07</x:v>
      </x:c>
      <x:c r="H10" s="25" t="str">
        <x:v>多供应商询价泛滥；未调研即询盘</x:v>
      </x:c>
      <x:c r="I10" s="26" t="str">
        <x:v>询盘</x:v>
      </x:c>
    </x:row>
    <x:row r="11">
      <x:c r="A11" s="24" t="str">
        <x:v>K010</x:v>
      </x:c>
      <x:c r="B11" s="25" t="str">
        <x:v>询盘前信息收集与市场调研</x:v>
      </x:c>
      <x:c r="C11" s="25" t="str">
        <x:v>Gathering information and market research for inquiries</x:v>
      </x:c>
      <x:c r="D11" s="25" t="str">
        <x:v>业务流程</x:v>
      </x:c>
      <x:c r="E11" s="25" t="str">
        <x:v>询盘</x:v>
      </x:c>
      <x:c r="F11" s="25" t="n">
        <x:v>4</x:v>
      </x:c>
      <x:c r="G11" s="25" t="str">
        <x:v>P1.01, P1.02, P1.06, P1.07</x:v>
      </x:c>
      <x:c r="H11" s="25" t="str">
        <x:v>试探性询盘；询盘要素不完整；隐瞒数量只问价格；未调研即询盘</x:v>
      </x:c>
      <x:c r="I11" s="26" t="str">
        <x:v>询盘</x:v>
      </x:c>
    </x:row>
    <x:row r="12">
      <x:c r="A12" s="24" t="str">
        <x:v>K011</x:v>
      </x:c>
      <x:c r="B12" s="25" t="str">
        <x:v>询盘比较分析</x:v>
      </x:c>
      <x:c r="C12" s="25" t="str">
        <x:v>Comparative analysis of inquiries</x:v>
      </x:c>
      <x:c r="D12" s="25" t="str">
        <x:v>业务流程</x:v>
      </x:c>
      <x:c r="E12" s="25" t="str">
        <x:v>询盘</x:v>
      </x:c>
      <x:c r="F12" s="25" t="n">
        <x:v>3</x:v>
      </x:c>
      <x:c r="G12" s="25" t="str">
        <x:v>P1.01, P1.03, P1.07</x:v>
      </x:c>
      <x:c r="H12" s="25" t="str">
        <x:v>试探性询盘；多供应商询价泛滥；未调研即询盘</x:v>
      </x:c>
      <x:c r="I12" s="26" t="str">
        <x:v>询盘</x:v>
      </x:c>
    </x:row>
    <x:row r="13">
      <x:c r="A13" s="24" t="str">
        <x:v>K012</x:v>
      </x:c>
      <x:c r="B13" s="25" t="str">
        <x:v>询盘阶段价格谈判</x:v>
      </x:c>
      <x:c r="C13" s="25" t="str">
        <x:v>Price negotiation during inquiries</x:v>
      </x:c>
      <x:c r="D13" s="25" t="str">
        <x:v>策略</x:v>
      </x:c>
      <x:c r="E13" s="25" t="str">
        <x:v>询盘</x:v>
      </x:c>
      <x:c r="F13" s="25" t="n">
        <x:v>3</x:v>
      </x:c>
      <x:c r="G13" s="25" t="str">
        <x:v>P1.03, P1.06, P2.04</x:v>
      </x:c>
      <x:c r="H13" s="25" t="str">
        <x:v>多供应商询价泛滥；隐瞒数量只问价格；极端价格锚定</x:v>
      </x:c>
      <x:c r="I13" s="26" t="str">
        <x:v>询盘；发盘</x:v>
      </x:c>
    </x:row>
    <x:row r="14">
      <x:c r="A14" s="24" t="str">
        <x:v>K013</x:v>
      </x:c>
      <x:c r="B14" s="25" t="str">
        <x:v>发盘的定义</x:v>
      </x:c>
      <x:c r="C14" s="25" t="str">
        <x:v>Definition of offers</x:v>
      </x:c>
      <x:c r="D14" s="25" t="str">
        <x:v>概念</x:v>
      </x:c>
      <x:c r="E14" s="25" t="str">
        <x:v>发盘</x:v>
      </x:c>
      <x:c r="F14" s="25" t="n">
        <x:v>3</x:v>
      </x:c>
      <x:c r="G14" s="25" t="str">
        <x:v>P2.01, P2.06, P2.07</x:v>
      </x:c>
      <x:c r="H14" s="25" t="str">
        <x:v>持续提供虚盘；生效后撤回发盘；发盘缺少主要条款</x:v>
      </x:c>
      <x:c r="I14" s="26" t="str">
        <x:v>发盘</x:v>
      </x:c>
    </x:row>
    <x:row r="15">
      <x:c r="A15" s="24" t="str">
        <x:v>K014</x:v>
      </x:c>
      <x:c r="B15" s="25" t="str">
        <x:v>发盘的法律性质与解释</x:v>
      </x:c>
      <x:c r="C15" s="25" t="str">
        <x:v>Legal nature and interpretation of offers</x:v>
      </x:c>
      <x:c r="D15" s="25" t="str">
        <x:v>法律规则</x:v>
      </x:c>
      <x:c r="E15" s="25" t="str">
        <x:v>发盘</x:v>
      </x:c>
      <x:c r="F15" s="25" t="n">
        <x:v>6</x:v>
      </x:c>
      <x:c r="G15" s="25" t="str">
        <x:v>P1.04, P2.01, P2.02, P2.05, P2.06, P2.07</x:v>
      </x:c>
      <x:c r="H15" s="25" t="str">
        <x:v>询盘意外构成发盘；持续提供虚盘；发盘有效期模糊或缺失；附条件发盘暗藏陷阱；生效后撤回发盘；发盘缺少主要条款</x:v>
      </x:c>
      <x:c r="I15" s="26" t="str">
        <x:v>询盘；发盘</x:v>
      </x:c>
    </x:row>
    <x:row r="16">
      <x:c r="A16" s="24" t="str">
        <x:v>K015</x:v>
      </x:c>
      <x:c r="B16" s="25" t="str">
        <x:v>发盘有效期</x:v>
      </x:c>
      <x:c r="C16" s="25" t="str">
        <x:v>Validity period of offers</x:v>
      </x:c>
      <x:c r="D16" s="25" t="str">
        <x:v>法律规则</x:v>
      </x:c>
      <x:c r="E16" s="25" t="str">
        <x:v>发盘</x:v>
      </x:c>
      <x:c r="F16" s="25" t="n">
        <x:v>5</x:v>
      </x:c>
      <x:c r="G16" s="25" t="str">
        <x:v>P2.02, P2.06, P3.07, P4.01, P6.03</x:v>
      </x:c>
      <x:c r="H16" s="25" t="str">
        <x:v>发盘有效期模糊或缺失；生效后撤回发盘；还盘时机或措辞不当；有效期后逾期接受；汇率波动侵蚀利润</x:v>
      </x:c>
      <x:c r="I16" s="26" t="str">
        <x:v>发盘；还盘；接受与订货；付款与交付</x:v>
      </x:c>
    </x:row>
    <x:row r="17">
      <x:c r="A17" s="24" t="str">
        <x:v>K016</x:v>
      </x:c>
      <x:c r="B17" s="25" t="str">
        <x:v>FOB 条件</x:v>
      </x:c>
      <x:c r="C17" s="25" t="str">
        <x:v>FOB terms</x:v>
      </x:c>
      <x:c r="D17" s="25" t="str">
        <x:v>法律规则</x:v>
      </x:c>
      <x:c r="E17" s="25" t="str">
        <x:v>发盘</x:v>
      </x:c>
      <x:c r="F17" s="25" t="n">
        <x:v>5</x:v>
      </x:c>
      <x:c r="G17" s="25" t="str">
        <x:v>P2.03, P6.06, P7.01, P8.01, P9.07</x:v>
      </x:c>
      <x:c r="H17" s="25" t="str">
        <x:v>FOB/CIF 混淆成本；交付验收标准争议；检验地点与时间争议；不足额投保或险别与术语不匹配；承运人与卖方责任混淆</x:v>
      </x:c>
      <x:c r="I17" s="26" t="str">
        <x:v>发盘；付款与交付；商品检验；保险与仲裁；投诉、索赔与和解</x:v>
      </x:c>
    </x:row>
    <x:row r="18">
      <x:c r="A18" s="24" t="str">
        <x:v>K017</x:v>
      </x:c>
      <x:c r="B18" s="25" t="str">
        <x:v>CIF 条件</x:v>
      </x:c>
      <x:c r="C18" s="25" t="str">
        <x:v>CIF terms</x:v>
      </x:c>
      <x:c r="D18" s="25" t="str">
        <x:v>法律规则</x:v>
      </x:c>
      <x:c r="E18" s="25" t="str">
        <x:v>发盘</x:v>
      </x:c>
      <x:c r="F18" s="25" t="n">
        <x:v>4</x:v>
      </x:c>
      <x:c r="G18" s="25" t="str">
        <x:v>P2.03, P6.06, P7.01, P8.01</x:v>
      </x:c>
      <x:c r="H18" s="25" t="str">
        <x:v>FOB/CIF 混淆成本；交付验收标准争议；检验地点与时间争议；不足额投保或险别与术语不匹配</x:v>
      </x:c>
      <x:c r="I18" s="26" t="str">
        <x:v>发盘；付款与交付；商品检验；保险与仲裁</x:v>
      </x:c>
    </x:row>
    <x:row r="19">
      <x:c r="A19" s="24" t="str">
        <x:v>K018</x:v>
      </x:c>
      <x:c r="B19" s="25" t="str">
        <x:v>价格锚定策略</x:v>
      </x:c>
      <x:c r="C19" s="25" t="str">
        <x:v>Anchoring price strategy</x:v>
      </x:c>
      <x:c r="D19" s="25" t="str">
        <x:v>策略</x:v>
      </x:c>
      <x:c r="E19" s="25" t="str">
        <x:v>发盘</x:v>
      </x:c>
      <x:c r="F19" s="25" t="n">
        <x:v>2</x:v>
      </x:c>
      <x:c r="G19" s="25" t="str">
        <x:v>P1.06, P2.04</x:v>
      </x:c>
      <x:c r="H19" s="25" t="str">
        <x:v>隐瞒数量只问价格；极端价格锚定</x:v>
      </x:c>
      <x:c r="I19" s="26" t="str">
        <x:v>询盘；发盘</x:v>
      </x:c>
    </x:row>
    <x:row r="20">
      <x:c r="A20" s="24" t="str">
        <x:v>K019</x:v>
      </x:c>
      <x:c r="B20" s="25" t="str">
        <x:v>发盘函结构</x:v>
      </x:c>
      <x:c r="C20" s="25" t="str">
        <x:v>Structure of offer correspondence</x:v>
      </x:c>
      <x:c r="D20" s="25" t="str">
        <x:v>商务函电</x:v>
      </x:c>
      <x:c r="E20" s="25" t="str">
        <x:v>发盘</x:v>
      </x:c>
      <x:c r="F20" s="25" t="n">
        <x:v>5</x:v>
      </x:c>
      <x:c r="G20" s="25" t="str">
        <x:v>P2.02, P2.03, P2.05, P2.07, P6.02</x:v>
      </x:c>
      <x:c r="H20" s="25" t="str">
        <x:v>发盘有效期模糊或缺失；FOB/CIF 混淆成本；附条件发盘暗藏陷阱；发盘缺少主要条款；信用证不符点导致拒付</x:v>
      </x:c>
      <x:c r="I20" s="26" t="str">
        <x:v>发盘；付款与交付</x:v>
      </x:c>
    </x:row>
    <x:row r="21">
      <x:c r="A21" s="24" t="str">
        <x:v>K020</x:v>
      </x:c>
      <x:c r="B21" s="25" t="str">
        <x:v>发盘礼仪与跨文化差异</x:v>
      </x:c>
      <x:c r="C21" s="25" t="str">
        <x:v>Offer etiquette and cross-cultural differences</x:v>
      </x:c>
      <x:c r="D21" s="25" t="str">
        <x:v>跨文化</x:v>
      </x:c>
      <x:c r="E21" s="25" t="str">
        <x:v>发盘</x:v>
      </x:c>
      <x:c r="F21" s="25" t="n">
        <x:v>2</x:v>
      </x:c>
      <x:c r="G21" s="25" t="str">
        <x:v>P1.05, P2.01</x:v>
      </x:c>
      <x:c r="H21" s="25" t="str">
        <x:v>首次接触礼仪失当；持续提供虚盘</x:v>
      </x:c>
      <x:c r="I21" s="26" t="str">
        <x:v>询盘；发盘</x:v>
      </x:c>
    </x:row>
    <x:row r="22">
      <x:c r="A22" s="24" t="str">
        <x:v>K021</x:v>
      </x:c>
      <x:c r="B22" s="25" t="str">
        <x:v>定价因素分析</x:v>
      </x:c>
      <x:c r="C22" s="25" t="str">
        <x:v>Analysis of pricing factors</x:v>
      </x:c>
      <x:c r="D22" s="25" t="str">
        <x:v>业务流程</x:v>
      </x:c>
      <x:c r="E22" s="25" t="str">
        <x:v>发盘</x:v>
      </x:c>
      <x:c r="F22" s="25" t="n">
        <x:v>4</x:v>
      </x:c>
      <x:c r="G22" s="25" t="str">
        <x:v>P2.03, P2.04, P2.07, P6.03</x:v>
      </x:c>
      <x:c r="H22" s="25" t="str">
        <x:v>FOB/CIF 混淆成本；极端价格锚定；发盘缺少主要条款；汇率波动侵蚀利润</x:v>
      </x:c>
      <x:c r="I22" s="26" t="str">
        <x:v>发盘；付款与交付</x:v>
      </x:c>
    </x:row>
    <x:row r="23">
      <x:c r="A23" s="24" t="str">
        <x:v>K022</x:v>
      </x:c>
      <x:c r="B23" s="25" t="str">
        <x:v>发盘的撤回与修改</x:v>
      </x:c>
      <x:c r="C23" s="25" t="str">
        <x:v>Withdrawing and modifying offers</x:v>
      </x:c>
      <x:c r="D23" s="25" t="str">
        <x:v>法律规则</x:v>
      </x:c>
      <x:c r="E23" s="25" t="str">
        <x:v>发盘</x:v>
      </x:c>
      <x:c r="F23" s="25" t="n">
        <x:v>2</x:v>
      </x:c>
      <x:c r="G23" s="25" t="str">
        <x:v>P2.02, P2.06</x:v>
      </x:c>
      <x:c r="H23" s="25" t="str">
        <x:v>发盘有效期模糊或缺失；生效后撤回发盘</x:v>
      </x:c>
      <x:c r="I23" s="26" t="str">
        <x:v>发盘</x:v>
      </x:c>
    </x:row>
    <x:row r="24">
      <x:c r="A24" s="24" t="str">
        <x:v>K023</x:v>
      </x:c>
      <x:c r="B24" s="25" t="str">
        <x:v>附条件与限制性发盘</x:v>
      </x:c>
      <x:c r="C24" s="25" t="str">
        <x:v>Conditional and limiting offers</x:v>
      </x:c>
      <x:c r="D24" s="25" t="str">
        <x:v>法律规则</x:v>
      </x:c>
      <x:c r="E24" s="25" t="str">
        <x:v>发盘</x:v>
      </x:c>
      <x:c r="F24" s="25" t="n">
        <x:v>2</x:v>
      </x:c>
      <x:c r="G24" s="25" t="str">
        <x:v>P2.01, P2.05</x:v>
      </x:c>
      <x:c r="H24" s="25" t="str">
        <x:v>持续提供虚盘；附条件发盘暗藏陷阱</x:v>
      </x:c>
      <x:c r="I24" s="26" t="str">
        <x:v>发盘</x:v>
      </x:c>
    </x:row>
    <x:row r="25">
      <x:c r="A25" s="24" t="str">
        <x:v>K024</x:v>
      </x:c>
      <x:c r="B25" s="25" t="str">
        <x:v>发盘风险管理</x:v>
      </x:c>
      <x:c r="C25" s="25" t="str">
        <x:v>Risk management for offers</x:v>
      </x:c>
      <x:c r="D25" s="25" t="str">
        <x:v>风险控制</x:v>
      </x:c>
      <x:c r="E25" s="25" t="str">
        <x:v>发盘</x:v>
      </x:c>
      <x:c r="F25" s="25" t="n">
        <x:v>5</x:v>
      </x:c>
      <x:c r="G25" s="25" t="str">
        <x:v>P2.01, P2.02, P2.03, P2.05, P6.03</x:v>
      </x:c>
      <x:c r="H25" s="25" t="str">
        <x:v>持续提供虚盘；发盘有效期模糊或缺失；FOB/CIF 混淆成本；附条件发盘暗藏陷阱；汇率波动侵蚀利润</x:v>
      </x:c>
      <x:c r="I25" s="26" t="str">
        <x:v>发盘；付款与交付</x:v>
      </x:c>
    </x:row>
    <x:row r="26">
      <x:c r="A26" s="24" t="str">
        <x:v>K025</x:v>
      </x:c>
      <x:c r="B26" s="25" t="str">
        <x:v>发盘谈判与心理策略</x:v>
      </x:c>
      <x:c r="C26" s="25" t="str">
        <x:v>Negotiation techniques and psychological strategies for offers</x:v>
      </x:c>
      <x:c r="D26" s="25" t="str">
        <x:v>策略</x:v>
      </x:c>
      <x:c r="E26" s="25" t="str">
        <x:v>发盘</x:v>
      </x:c>
      <x:c r="F26" s="25" t="n">
        <x:v>2</x:v>
      </x:c>
      <x:c r="G26" s="25" t="str">
        <x:v>P2.01, P2.04</x:v>
      </x:c>
      <x:c r="H26" s="25" t="str">
        <x:v>持续提供虚盘；极端价格锚定</x:v>
      </x:c>
      <x:c r="I26" s="26" t="str">
        <x:v>发盘</x:v>
      </x:c>
    </x:row>
    <x:row r="27">
      <x:c r="A27" s="24" t="str">
        <x:v>K026</x:v>
      </x:c>
      <x:c r="B27" s="25" t="str">
        <x:v>还盘的法律性质与解释</x:v>
      </x:c>
      <x:c r="C27" s="25" t="str">
        <x:v>Legal nature and interpretation of counter-offers</x:v>
      </x:c>
      <x:c r="D27" s="25" t="str">
        <x:v>法律规则</x:v>
      </x:c>
      <x:c r="E27" s="25" t="str">
        <x:v>还盘</x:v>
      </x:c>
      <x:c r="F27" s="25" t="n">
        <x:v>4</x:v>
      </x:c>
      <x:c r="G27" s="25" t="str">
        <x:v>P3.02, P3.03, P3.06, P4.02</x:v>
      </x:c>
      <x:c r="H27" s="25" t="str">
        <x:v>还盘使原发盘失效；沉默或行为被视为接受；意外变更主要条款；附修改的接受</x:v>
      </x:c>
      <x:c r="I27" s="26" t="str">
        <x:v>还盘；接受与订货</x:v>
      </x:c>
    </x:row>
    <x:row r="28">
      <x:c r="A28" s="24" t="str">
        <x:v>K027</x:v>
      </x:c>
      <x:c r="B28" s="25" t="str">
        <x:v>还盘后的权利义务转移</x:v>
      </x:c>
      <x:c r="C28" s="25" t="str">
        <x:v>Transfer of rights and obligations after a counter-offer</x:v>
      </x:c>
      <x:c r="D28" s="25" t="str">
        <x:v>法律规则</x:v>
      </x:c>
      <x:c r="E28" s="25" t="str">
        <x:v>还盘</x:v>
      </x:c>
      <x:c r="F28" s="25" t="n">
        <x:v>1</x:v>
      </x:c>
      <x:c r="G28" s="25" t="str">
        <x:v>P3.02</x:v>
      </x:c>
      <x:c r="H28" s="25" t="str">
        <x:v>还盘使原发盘失效</x:v>
      </x:c>
      <x:c r="I28" s="26" t="str">
        <x:v>还盘</x:v>
      </x:c>
    </x:row>
    <x:row r="29">
      <x:c r="A29" s="24" t="str">
        <x:v>K028</x:v>
      </x:c>
      <x:c r="B29" s="25" t="str">
        <x:v>还盘流程逻辑</x:v>
      </x:c>
      <x:c r="C29" s="25" t="str">
        <x:v>Logic of the counter-offer process</x:v>
      </x:c>
      <x:c r="D29" s="25" t="str">
        <x:v>概念</x:v>
      </x:c>
      <x:c r="E29" s="25" t="str">
        <x:v>还盘</x:v>
      </x:c>
      <x:c r="F29" s="25" t="n">
        <x:v>1</x:v>
      </x:c>
      <x:c r="G29" s="25" t="str">
        <x:v>P3.02</x:v>
      </x:c>
      <x:c r="H29" s="25" t="str">
        <x:v>还盘使原发盘失效</x:v>
      </x:c>
      <x:c r="I29" s="26" t="str">
        <x:v>还盘</x:v>
      </x:c>
    </x:row>
    <x:row r="30">
      <x:c r="A30" s="24" t="str">
        <x:v>K029</x:v>
      </x:c>
      <x:c r="B30" s="25" t="str">
        <x:v>以退为进策略</x:v>
      </x:c>
      <x:c r="C30" s="25" t="str">
        <x:v>Retreat-to-advance strategy</x:v>
      </x:c>
      <x:c r="D30" s="25" t="str">
        <x:v>策略</x:v>
      </x:c>
      <x:c r="E30" s="25" t="str">
        <x:v>还盘</x:v>
      </x:c>
      <x:c r="F30" s="25" t="n">
        <x:v>3</x:v>
      </x:c>
      <x:c r="G30" s="25" t="str">
        <x:v>P3.01, P3.04, P6.01</x:v>
      </x:c>
      <x:c r="H30" s="25" t="str">
        <x:v>反复还盘陷入僵局；单方面持续让步；付款方式谈判僵局</x:v>
      </x:c>
      <x:c r="I30" s="26" t="str">
        <x:v>还盘；付款与交付</x:v>
      </x:c>
    </x:row>
    <x:row r="31">
      <x:c r="A31" s="24" t="str">
        <x:v>K030</x:v>
      </x:c>
      <x:c r="B31" s="25" t="str">
        <x:v>互惠让步策略</x:v>
      </x:c>
      <x:c r="C31" s="25" t="str">
        <x:v>Reciprocal concession strategy</x:v>
      </x:c>
      <x:c r="D31" s="25" t="str">
        <x:v>策略</x:v>
      </x:c>
      <x:c r="E31" s="25" t="str">
        <x:v>还盘</x:v>
      </x:c>
      <x:c r="F31" s="25" t="n">
        <x:v>3</x:v>
      </x:c>
      <x:c r="G31" s="25" t="str">
        <x:v>P3.01, P3.04, P9.06</x:v>
      </x:c>
      <x:c r="H31" s="25" t="str">
        <x:v>反复还盘陷入僵局；单方面持续让步；赔偿金额谈判僵局</x:v>
      </x:c>
      <x:c r="I31" s="26" t="str">
        <x:v>还盘；投诉、索赔与和解</x:v>
      </x:c>
    </x:row>
    <x:row r="32">
      <x:c r="A32" s="24" t="str">
        <x:v>K031</x:v>
      </x:c>
      <x:c r="B32" s="25" t="str">
        <x:v>四阶段让步策略</x:v>
      </x:c>
      <x:c r="C32" s="25" t="str">
        <x:v>Four-stage concession strategy</x:v>
      </x:c>
      <x:c r="D32" s="25" t="str">
        <x:v>策略</x:v>
      </x:c>
      <x:c r="E32" s="25" t="str">
        <x:v>还盘</x:v>
      </x:c>
      <x:c r="F32" s="25" t="n">
        <x:v>2</x:v>
      </x:c>
      <x:c r="G32" s="25" t="str">
        <x:v>P3.01, P3.04</x:v>
      </x:c>
      <x:c r="H32" s="25" t="str">
        <x:v>反复还盘陷入僵局；单方面持续让步</x:v>
      </x:c>
      <x:c r="I32" s="26" t="str">
        <x:v>还盘</x:v>
      </x:c>
    </x:row>
    <x:row r="33">
      <x:c r="A33" s="24" t="str">
        <x:v>K032</x:v>
      </x:c>
      <x:c r="B33" s="25" t="str">
        <x:v>还盘函结构、语言与礼仪</x:v>
      </x:c>
      <x:c r="C33" s="25" t="str">
        <x:v>Structure, language, and etiquette of counter-offer correspondence</x:v>
      </x:c>
      <x:c r="D33" s="25" t="str">
        <x:v>商务函电</x:v>
      </x:c>
      <x:c r="E33" s="25" t="str">
        <x:v>还盘</x:v>
      </x:c>
      <x:c r="F33" s="25" t="n">
        <x:v>4</x:v>
      </x:c>
      <x:c r="G33" s="25" t="str">
        <x:v>P3.02, P3.05, P3.06, P3.07</x:v>
      </x:c>
      <x:c r="H33" s="25" t="str">
        <x:v>还盘使原发盘失效；威胁对方面子的谈判；意外变更主要条款；还盘时机或措辞不当</x:v>
      </x:c>
      <x:c r="I33" s="26" t="str">
        <x:v>还盘</x:v>
      </x:c>
    </x:row>
    <x:row r="34">
      <x:c r="A34" s="24" t="str">
        <x:v>K033</x:v>
      </x:c>
      <x:c r="B34" s="25" t="str">
        <x:v>还盘风险控制</x:v>
      </x:c>
      <x:c r="C34" s="25" t="str">
        <x:v>Risk control for counter-offers</x:v>
      </x:c>
      <x:c r="D34" s="25" t="str">
        <x:v>风险控制</x:v>
      </x:c>
      <x:c r="E34" s="25" t="str">
        <x:v>还盘</x:v>
      </x:c>
      <x:c r="F34" s="25" t="n">
        <x:v>3</x:v>
      </x:c>
      <x:c r="G34" s="25" t="str">
        <x:v>P3.02, P3.03, P3.06</x:v>
      </x:c>
      <x:c r="H34" s="25" t="str">
        <x:v>还盘使原发盘失效；沉默或行为被视为接受；意外变更主要条款</x:v>
      </x:c>
      <x:c r="I34" s="26" t="str">
        <x:v>还盘</x:v>
      </x:c>
    </x:row>
    <x:row r="35">
      <x:c r="A35" s="24" t="str">
        <x:v>K034</x:v>
      </x:c>
      <x:c r="B35" s="25" t="str">
        <x:v>还盘、沉默与默示接受</x:v>
      </x:c>
      <x:c r="C35" s="25" t="str">
        <x:v>Counter-offers, silence, and implied acceptance</x:v>
      </x:c>
      <x:c r="D35" s="25" t="str">
        <x:v>法律规则</x:v>
      </x:c>
      <x:c r="E35" s="25" t="str">
        <x:v>还盘</x:v>
      </x:c>
      <x:c r="F35" s="25" t="n">
        <x:v>2</x:v>
      </x:c>
      <x:c r="G35" s="25" t="str">
        <x:v>P3.03, P4.03</x:v>
      </x:c>
      <x:c r="H35" s="25" t="str">
        <x:v>沉默或行为被视为接受；合同是否成立发生争议</x:v>
      </x:c>
      <x:c r="I35" s="26" t="str">
        <x:v>还盘；接受与订货</x:v>
      </x:c>
    </x:row>
    <x:row r="36">
      <x:c r="A36" s="24" t="str">
        <x:v>K035</x:v>
      </x:c>
      <x:c r="B36" s="25" t="str">
        <x:v>还盘机会评估</x:v>
      </x:c>
      <x:c r="C36" s="25" t="str">
        <x:v>Assessing opportunities for counter-offers</x:v>
      </x:c>
      <x:c r="D36" s="25" t="str">
        <x:v>策略</x:v>
      </x:c>
      <x:c r="E36" s="25" t="str">
        <x:v>还盘</x:v>
      </x:c>
      <x:c r="F36" s="25" t="n">
        <x:v>2</x:v>
      </x:c>
      <x:c r="G36" s="25" t="str">
        <x:v>P3.01, P3.07</x:v>
      </x:c>
      <x:c r="H36" s="25" t="str">
        <x:v>反复还盘陷入僵局；还盘时机或措辞不当</x:v>
      </x:c>
      <x:c r="I36" s="26" t="str">
        <x:v>还盘</x:v>
      </x:c>
    </x:row>
    <x:row r="37">
      <x:c r="A37" s="24" t="str">
        <x:v>K036</x:v>
      </x:c>
      <x:c r="B37" s="25" t="str">
        <x:v>还盘心理与保全面子策略</x:v>
      </x:c>
      <x:c r="C37" s="25" t="str">
        <x:v>Psychology and saving-face strategies in counter-offers</x:v>
      </x:c>
      <x:c r="D37" s="25" t="str">
        <x:v>策略</x:v>
      </x:c>
      <x:c r="E37" s="25" t="str">
        <x:v>还盘</x:v>
      </x:c>
      <x:c r="F37" s="25" t="n">
        <x:v>2</x:v>
      </x:c>
      <x:c r="G37" s="25" t="str">
        <x:v>P3.05, P9.08</x:v>
      </x:c>
      <x:c r="H37" s="25" t="str">
        <x:v>威胁对方面子的谈判；跨文化投诉处理失当</x:v>
      </x:c>
      <x:c r="I37" s="26" t="str">
        <x:v>还盘；投诉、索赔与和解</x:v>
      </x:c>
    </x:row>
    <x:row r="38">
      <x:c r="A38" s="24" t="str">
        <x:v>K037</x:v>
      </x:c>
      <x:c r="B38" s="25" t="str">
        <x:v>还盘僵局处理</x:v>
      </x:c>
      <x:c r="C38" s="25" t="str">
        <x:v>Counter-offers and negotiation deadlocks</x:v>
      </x:c>
      <x:c r="D38" s="25" t="str">
        <x:v>策略</x:v>
      </x:c>
      <x:c r="E38" s="25" t="str">
        <x:v>还盘</x:v>
      </x:c>
      <x:c r="F38" s="25" t="n">
        <x:v>1</x:v>
      </x:c>
      <x:c r="G38" s="25" t="str">
        <x:v>P3.01</x:v>
      </x:c>
      <x:c r="H38" s="25" t="str">
        <x:v>反复还盘陷入僵局</x:v>
      </x:c>
      <x:c r="I38" s="26" t="str">
        <x:v>还盘</x:v>
      </x:c>
    </x:row>
    <x:row r="39">
      <x:c r="A39" s="24" t="str">
        <x:v>K038</x:v>
      </x:c>
      <x:c r="B39" s="25" t="str">
        <x:v>还盘后的磋商技巧</x:v>
      </x:c>
      <x:c r="C39" s="25" t="str">
        <x:v>Bargaining techniques after a counter-offer</x:v>
      </x:c>
      <x:c r="D39" s="25" t="str">
        <x:v>策略</x:v>
      </x:c>
      <x:c r="E39" s="25" t="str">
        <x:v>还盘</x:v>
      </x:c>
      <x:c r="F39" s="25" t="n">
        <x:v>2</x:v>
      </x:c>
      <x:c r="G39" s="25" t="str">
        <x:v>P3.04, P3.07</x:v>
      </x:c>
      <x:c r="H39" s="25" t="str">
        <x:v>单方面持续让步；还盘时机或措辞不当</x:v>
      </x:c>
      <x:c r="I39" s="26" t="str">
        <x:v>还盘</x:v>
      </x:c>
    </x:row>
    <x:row r="40">
      <x:c r="A40" s="24" t="str">
        <x:v>K039</x:v>
      </x:c>
      <x:c r="B40" s="25" t="str">
        <x:v>接受的定义</x:v>
      </x:c>
      <x:c r="C40" s="25" t="str">
        <x:v>Definition of acceptance</x:v>
      </x:c>
      <x:c r="D40" s="25" t="str">
        <x:v>概念</x:v>
      </x:c>
      <x:c r="E40" s="25" t="str">
        <x:v>接受与订货</x:v>
      </x:c>
      <x:c r="F40" s="25" t="n">
        <x:v>2</x:v>
      </x:c>
      <x:c r="G40" s="25" t="str">
        <x:v>P4.02, P4.03</x:v>
      </x:c>
      <x:c r="H40" s="25" t="str">
        <x:v>附修改的接受；合同是否成立发生争议</x:v>
      </x:c>
      <x:c r="I40" s="26" t="str">
        <x:v>接受与订货</x:v>
      </x:c>
    </x:row>
    <x:row r="41">
      <x:c r="A41" s="24" t="str">
        <x:v>K040</x:v>
      </x:c>
      <x:c r="B41" s="25" t="str">
        <x:v>有效接受的构成要件</x:v>
      </x:c>
      <x:c r="C41" s="25" t="str">
        <x:v>Elements of a valid acceptance</x:v>
      </x:c>
      <x:c r="D41" s="25" t="str">
        <x:v>法律规则</x:v>
      </x:c>
      <x:c r="E41" s="25" t="str">
        <x:v>接受与订货</x:v>
      </x:c>
      <x:c r="F41" s="25" t="n">
        <x:v>5</x:v>
      </x:c>
      <x:c r="G41" s="25" t="str">
        <x:v>P3.03, P4.01, P4.02, P4.03, P4.06</x:v>
      </x:c>
      <x:c r="H41" s="25" t="str">
        <x:v>沉默或行为被视为接受；有效期后逾期接受；附修改的接受；合同是否成立发生争议；跨文化语境中的非承诺性“同意”</x:v>
      </x:c>
      <x:c r="I41" s="26" t="str">
        <x:v>还盘；接受与订货</x:v>
      </x:c>
    </x:row>
    <x:row r="42">
      <x:c r="A42" s="24" t="str">
        <x:v>K041</x:v>
      </x:c>
      <x:c r="B42" s="25" t="str">
        <x:v>接受与还盘的区分</x:v>
      </x:c>
      <x:c r="C42" s="25" t="str">
        <x:v>Distinction between acceptance and counter-offer</x:v>
      </x:c>
      <x:c r="D42" s="25" t="str">
        <x:v>法律规则</x:v>
      </x:c>
      <x:c r="E42" s="25" t="str">
        <x:v>接受与订货</x:v>
      </x:c>
      <x:c r="F42" s="25" t="n">
        <x:v>3</x:v>
      </x:c>
      <x:c r="G42" s="25" t="str">
        <x:v>P3.06, P4.02, P4.06</x:v>
      </x:c>
      <x:c r="H42" s="25" t="str">
        <x:v>意外变更主要条款；附修改的接受；跨文化语境中的非承诺性“同意”</x:v>
      </x:c>
      <x:c r="I42" s="26" t="str">
        <x:v>还盘；接受与订货</x:v>
      </x:c>
    </x:row>
    <x:row r="43">
      <x:c r="A43" s="24" t="str">
        <x:v>K042</x:v>
      </x:c>
      <x:c r="B43" s="25" t="str">
        <x:v>逾期接受</x:v>
      </x:c>
      <x:c r="C43" s="25" t="str">
        <x:v>Late acceptance</x:v>
      </x:c>
      <x:c r="D43" s="25" t="str">
        <x:v>法律规则</x:v>
      </x:c>
      <x:c r="E43" s="25" t="str">
        <x:v>接受与订货</x:v>
      </x:c>
      <x:c r="F43" s="25" t="n">
        <x:v>1</x:v>
      </x:c>
      <x:c r="G43" s="25" t="str">
        <x:v>P4.01</x:v>
      </x:c>
      <x:c r="H43" s="25" t="str">
        <x:v>有效期后逾期接受</x:v>
      </x:c>
      <x:c r="I43" s="26" t="str">
        <x:v>接受与订货</x:v>
      </x:c>
    </x:row>
    <x:row r="44">
      <x:c r="A44" s="24" t="str">
        <x:v>K043</x:v>
      </x:c>
      <x:c r="B44" s="25" t="str">
        <x:v>订货流程与确认</x:v>
      </x:c>
      <x:c r="C44" s="25" t="str">
        <x:v>Ordering process and confirmation</x:v>
      </x:c>
      <x:c r="D44" s="25" t="str">
        <x:v>业务流程</x:v>
      </x:c>
      <x:c r="E44" s="25" t="str">
        <x:v>接受与订货</x:v>
      </x:c>
      <x:c r="F44" s="25" t="n">
        <x:v>3</x:v>
      </x:c>
      <x:c r="G44" s="25" t="str">
        <x:v>P4.02, P4.06, P5.07</x:v>
      </x:c>
      <x:c r="H44" s="25" t="str">
        <x:v>附修改的接受；跨文化语境中的非承诺性“同意”；海关与货代协同失败</x:v>
      </x:c>
      <x:c r="I44" s="26" t="str">
        <x:v>接受与订货；包装与装运</x:v>
      </x:c>
    </x:row>
    <x:row r="45">
      <x:c r="A45" s="24" t="str">
        <x:v>K044</x:v>
      </x:c>
      <x:c r="B45" s="25" t="str">
        <x:v>订单变更、修改与取消</x:v>
      </x:c>
      <x:c r="C45" s="25" t="str">
        <x:v>Order changes, modifications, and cancellations</x:v>
      </x:c>
      <x:c r="D45" s="25" t="str">
        <x:v>业务流程</x:v>
      </x:c>
      <x:c r="E45" s="25" t="str">
        <x:v>接受与订货</x:v>
      </x:c>
      <x:c r="F45" s="25" t="n">
        <x:v>2</x:v>
      </x:c>
      <x:c r="G45" s="25" t="str">
        <x:v>P4.04, P4.05</x:v>
      </x:c>
      <x:c r="H45" s="25" t="str">
        <x:v>合同成立后取消；履约中途变更订单</x:v>
      </x:c>
      <x:c r="I45" s="26" t="str">
        <x:v>接受与订货</x:v>
      </x:c>
    </x:row>
    <x:row r="46">
      <x:c r="A46" s="24" t="str">
        <x:v>K045</x:v>
      </x:c>
      <x:c r="B46" s="25" t="str">
        <x:v>接受与订货的跨文化差异</x:v>
      </x:c>
      <x:c r="C46" s="25" t="str">
        <x:v>Cross-cultural differences in acceptance and ordering</x:v>
      </x:c>
      <x:c r="D46" s="25" t="str">
        <x:v>跨文化</x:v>
      </x:c>
      <x:c r="E46" s="25" t="str">
        <x:v>接受与订货</x:v>
      </x:c>
      <x:c r="F46" s="25" t="n">
        <x:v>2</x:v>
      </x:c>
      <x:c r="G46" s="25" t="str">
        <x:v>P3.03, P4.06</x:v>
      </x:c>
      <x:c r="H46" s="25" t="str">
        <x:v>沉默或行为被视为接受；跨文化语境中的非承诺性“同意”</x:v>
      </x:c>
      <x:c r="I46" s="26" t="str">
        <x:v>还盘；接受与订货</x:v>
      </x:c>
    </x:row>
    <x:row r="47">
      <x:c r="A47" s="24" t="str">
        <x:v>K046</x:v>
      </x:c>
      <x:c r="B47" s="25" t="str">
        <x:v>接受通知的方式、效力与撤回</x:v>
      </x:c>
      <x:c r="C47" s="25" t="str">
        <x:v>Methods, validity, and withdrawal of acceptance notices</x:v>
      </x:c>
      <x:c r="D47" s="25" t="str">
        <x:v>法律规则</x:v>
      </x:c>
      <x:c r="E47" s="25" t="str">
        <x:v>接受与订货</x:v>
      </x:c>
      <x:c r="F47" s="25" t="n">
        <x:v>2</x:v>
      </x:c>
      <x:c r="G47" s="25" t="str">
        <x:v>P4.01, P4.03</x:v>
      </x:c>
      <x:c r="H47" s="25" t="str">
        <x:v>有效期后逾期接受；合同是否成立发生争议</x:v>
      </x:c>
      <x:c r="I47" s="26" t="str">
        <x:v>接受与订货</x:v>
      </x:c>
    </x:row>
    <x:row r="48">
      <x:c r="A48" s="24" t="str">
        <x:v>K047</x:v>
      </x:c>
      <x:c r="B48" s="25" t="str">
        <x:v>买卖合同的成立与条款</x:v>
      </x:c>
      <x:c r="C48" s="25" t="str">
        <x:v>Formation and terms of purchase contracts</x:v>
      </x:c>
      <x:c r="D48" s="25" t="str">
        <x:v>法律规则</x:v>
      </x:c>
      <x:c r="E48" s="25" t="str">
        <x:v>接受与订货</x:v>
      </x:c>
      <x:c r="F48" s="25" t="n">
        <x:v>7</x:v>
      </x:c>
      <x:c r="G48" s="25" t="str">
        <x:v>P2.07, P4.03, P4.04, P4.05, P7.01, P7.04, P8.03</x:v>
      </x:c>
      <x:c r="H48" s="25" t="str">
        <x:v>发盘缺少主要条款；合同是否成立发生争议；合同成立后取消；履约中途变更订单；检验地点与时间争议；检验费用承担争议；仲裁条款缺失或含糊</x:v>
      </x:c>
      <x:c r="I48" s="26" t="str">
        <x:v>发盘；接受与订货；商品检验；保险与仲裁</x:v>
      </x:c>
    </x:row>
    <x:row r="49">
      <x:c r="A49" s="24" t="str">
        <x:v>K048</x:v>
      </x:c>
      <x:c r="B49" s="25" t="str">
        <x:v>订单执行与履约监控</x:v>
      </x:c>
      <x:c r="C49" s="25" t="str">
        <x:v>Order execution and contract performance monitoring</x:v>
      </x:c>
      <x:c r="D49" s="25" t="str">
        <x:v>业务流程</x:v>
      </x:c>
      <x:c r="E49" s="25" t="str">
        <x:v>接受与订货</x:v>
      </x:c>
      <x:c r="F49" s="25" t="n">
        <x:v>3</x:v>
      </x:c>
      <x:c r="G49" s="25" t="str">
        <x:v>P4.05, P4.07, P6.06</x:v>
      </x:c>
      <x:c r="H49" s="25" t="str">
        <x:v>履约中途变更订单；订货后交期持续漂移；交付验收标准争议</x:v>
      </x:c>
      <x:c r="I49" s="26" t="str">
        <x:v>接受与订货；付款与交付</x:v>
      </x:c>
    </x:row>
    <x:row r="50">
      <x:c r="A50" s="24" t="str">
        <x:v>K049</x:v>
      </x:c>
      <x:c r="B50" s="25" t="str">
        <x:v>订单交付日期跟踪</x:v>
      </x:c>
      <x:c r="C50" s="25" t="str">
        <x:v>Tracking order delivery dates</x:v>
      </x:c>
      <x:c r="D50" s="25" t="str">
        <x:v>业务流程</x:v>
      </x:c>
      <x:c r="E50" s="25" t="str">
        <x:v>接受与订货</x:v>
      </x:c>
      <x:c r="F50" s="25" t="n">
        <x:v>4</x:v>
      </x:c>
      <x:c r="G50" s="25" t="str">
        <x:v>P4.05, P4.07, P5.04, P6.05</x:v>
      </x:c>
      <x:c r="H50" s="25" t="str">
        <x:v>履约中途变更订单；订货后交期持续漂移；运输方式错误或错过船期；交付迟延构成违约</x:v>
      </x:c>
      <x:c r="I50" s="26" t="str">
        <x:v>接受与订货；包装与装运；付款与交付</x:v>
      </x:c>
    </x:row>
    <x:row r="51">
      <x:c r="A51" s="24" t="str">
        <x:v>K050</x:v>
      </x:c>
      <x:c r="B51" s="25" t="str">
        <x:v>合同免责条款</x:v>
      </x:c>
      <x:c r="C51" s="25" t="str">
        <x:v>Contractual exemption clauses</x:v>
      </x:c>
      <x:c r="D51" s="25" t="str">
        <x:v>法律规则</x:v>
      </x:c>
      <x:c r="E51" s="25" t="str">
        <x:v>接受与订货</x:v>
      </x:c>
      <x:c r="F51" s="25" t="n">
        <x:v>4</x:v>
      </x:c>
      <x:c r="G51" s="25" t="str">
        <x:v>P4.04, P6.05, P8.06, P9.05</x:v>
      </x:c>
      <x:c r="H51" s="25" t="str">
        <x:v>合同成立后取消；交付迟延构成违约；保险损失与不可抗力混淆；不当援引不可抗力</x:v>
      </x:c>
      <x:c r="I51" s="26" t="str">
        <x:v>接受与订货；付款与交付；保险与仲裁；投诉、索赔与和解</x:v>
      </x:c>
    </x:row>
    <x:row r="52">
      <x:c r="A52" s="24" t="str">
        <x:v>K051</x:v>
      </x:c>
      <x:c r="B52" s="25" t="str">
        <x:v>质量保证与售后服务</x:v>
      </x:c>
      <x:c r="C52" s="25" t="str">
        <x:v>Quality assurance and after-sales service</x:v>
      </x:c>
      <x:c r="D52" s="25" t="str">
        <x:v>业务流程</x:v>
      </x:c>
      <x:c r="E52" s="25" t="str">
        <x:v>接受与订货</x:v>
      </x:c>
      <x:c r="F52" s="25" t="n">
        <x:v>3</x:v>
      </x:c>
      <x:c r="G52" s="25" t="str">
        <x:v>P4.07, P7.07, P9.09</x:v>
      </x:c>
      <x:c r="H52" s="25" t="str">
        <x:v>订货后交期持续漂移；多国认证或环保测试失败；重复投诉但未解决根因</x:v>
      </x:c>
      <x:c r="I52" s="26" t="str">
        <x:v>接受与订货；商品检验；投诉、索赔与和解</x:v>
      </x:c>
    </x:row>
    <x:row r="53">
      <x:c r="A53" s="24" t="str">
        <x:v>K052</x:v>
      </x:c>
      <x:c r="B53" s="25" t="str">
        <x:v>出口包装要求</x:v>
      </x:c>
      <x:c r="C53" s="25" t="str">
        <x:v>Export packaging requirements</x:v>
      </x:c>
      <x:c r="D53" s="25" t="str">
        <x:v>概念</x:v>
      </x:c>
      <x:c r="E53" s="25" t="str">
        <x:v>包装与装运</x:v>
      </x:c>
      <x:c r="F53" s="25" t="n">
        <x:v>3</x:v>
      </x:c>
      <x:c r="G53" s="25" t="str">
        <x:v>P5.01, P5.03, P5.06</x:v>
      </x:c>
      <x:c r="H53" s="25" t="str">
        <x:v>包装未通过防潮防盗或运输测试；装箱与货物系固错误；包装环保或监管不合规</x:v>
      </x:c>
      <x:c r="I53" s="26" t="str">
        <x:v>包装与装运</x:v>
      </x:c>
    </x:row>
    <x:row r="54">
      <x:c r="A54" s="24" t="str">
        <x:v>K053</x:v>
      </x:c>
      <x:c r="B54" s="25" t="str">
        <x:v>包装材料、防潮与防盗</x:v>
      </x:c>
      <x:c r="C54" s="25" t="str">
        <x:v>Packaging materials, moisture and theft protection</x:v>
      </x:c>
      <x:c r="D54" s="25" t="str">
        <x:v>业务流程</x:v>
      </x:c>
      <x:c r="E54" s="25" t="str">
        <x:v>包装与装运</x:v>
      </x:c>
      <x:c r="F54" s="25" t="n">
        <x:v>1</x:v>
      </x:c>
      <x:c r="G54" s="25" t="str">
        <x:v>P5.01</x:v>
      </x:c>
      <x:c r="H54" s="25" t="str">
        <x:v>包装未通过防潮防盗或运输测试</x:v>
      </x:c>
      <x:c r="I54" s="26" t="str">
        <x:v>包装与装运</x:v>
      </x:c>
    </x:row>
    <x:row r="55">
      <x:c r="A55" s="24" t="str">
        <x:v>K054</x:v>
      </x:c>
      <x:c r="B55" s="25" t="str">
        <x:v>集装箱装载与货物系固</x:v>
      </x:c>
      <x:c r="C55" s="25" t="str">
        <x:v>Container loading and cargo securing</x:v>
      </x:c>
      <x:c r="D55" s="25" t="str">
        <x:v>业务流程</x:v>
      </x:c>
      <x:c r="E55" s="25" t="str">
        <x:v>包装与装运</x:v>
      </x:c>
      <x:c r="F55" s="25" t="n">
        <x:v>1</x:v>
      </x:c>
      <x:c r="G55" s="25" t="str">
        <x:v>P5.03</x:v>
      </x:c>
      <x:c r="H55" s="25" t="str">
        <x:v>装箱与货物系固错误</x:v>
      </x:c>
      <x:c r="I55" s="26" t="str">
        <x:v>包装与装运</x:v>
      </x:c>
    </x:row>
    <x:row r="56">
      <x:c r="A56" s="24" t="str">
        <x:v>K055</x:v>
      </x:c>
      <x:c r="B56" s="25" t="str">
        <x:v>空运与海运包装差异</x:v>
      </x:c>
      <x:c r="C56" s="25" t="str">
        <x:v>Packaging differences: air vs. sea freight</x:v>
      </x:c>
      <x:c r="D56" s="25" t="str">
        <x:v>业务流程</x:v>
      </x:c>
      <x:c r="E56" s="25" t="str">
        <x:v>包装与装运</x:v>
      </x:c>
      <x:c r="F56" s="25" t="n">
        <x:v>1</x:v>
      </x:c>
      <x:c r="G56" s="25" t="str">
        <x:v>P5.01</x:v>
      </x:c>
      <x:c r="H56" s="25" t="str">
        <x:v>包装未通过防潮防盗或运输测试</x:v>
      </x:c>
      <x:c r="I56" s="26" t="str">
        <x:v>包装与装运</x:v>
      </x:c>
    </x:row>
    <x:row r="57">
      <x:c r="A57" s="24" t="str">
        <x:v>K056</x:v>
      </x:c>
      <x:c r="B57" s="25" t="str">
        <x:v>包装唛头与标志</x:v>
      </x:c>
      <x:c r="C57" s="25" t="str">
        <x:v>Packaging marks and symbols</x:v>
      </x:c>
      <x:c r="D57" s="25" t="str">
        <x:v>业务流程</x:v>
      </x:c>
      <x:c r="E57" s="25" t="str">
        <x:v>包装与装运</x:v>
      </x:c>
      <x:c r="F57" s="25" t="n">
        <x:v>2</x:v>
      </x:c>
      <x:c r="G57" s="25" t="str">
        <x:v>P5.02, P5.08</x:v>
      </x:c>
      <x:c r="H57" s="25" t="str">
        <x:v>唛头错误导致货物混淆；包装色彩或符号触犯文化禁忌</x:v>
      </x:c>
      <x:c r="I57" s="26" t="str">
        <x:v>包装与装运</x:v>
      </x:c>
    </x:row>
    <x:row r="58">
      <x:c r="A58" s="24" t="str">
        <x:v>K057</x:v>
      </x:c>
      <x:c r="B58" s="25" t="str">
        <x:v>运输方式选择</x:v>
      </x:c>
      <x:c r="C58" s="25" t="str">
        <x:v>Selection of shipping methods</x:v>
      </x:c>
      <x:c r="D58" s="25" t="str">
        <x:v>策略</x:v>
      </x:c>
      <x:c r="E58" s="25" t="str">
        <x:v>包装与装运</x:v>
      </x:c>
      <x:c r="F58" s="25" t="n">
        <x:v>1</x:v>
      </x:c>
      <x:c r="G58" s="25" t="str">
        <x:v>P5.04</x:v>
      </x:c>
      <x:c r="H58" s="25" t="str">
        <x:v>运输方式错误或错过船期</x:v>
      </x:c>
      <x:c r="I58" s="26" t="str">
        <x:v>包装与装运</x:v>
      </x:c>
    </x:row>
    <x:row r="59">
      <x:c r="A59" s="24" t="str">
        <x:v>K058</x:v>
      </x:c>
      <x:c r="B59" s="25" t="str">
        <x:v>装运通知与货物跟踪</x:v>
      </x:c>
      <x:c r="C59" s="25" t="str">
        <x:v>Shipping notification and tracking</x:v>
      </x:c>
      <x:c r="D59" s="25" t="str">
        <x:v>业务流程</x:v>
      </x:c>
      <x:c r="E59" s="25" t="str">
        <x:v>包装与装运</x:v>
      </x:c>
      <x:c r="F59" s="25" t="n">
        <x:v>6</x:v>
      </x:c>
      <x:c r="G59" s="25" t="str">
        <x:v>P5.02, P5.05, P5.07, P6.02, P8.02, P9.04</x:v>
      </x:c>
      <x:c r="H59" s="25" t="str">
        <x:v>唛头错误导致货物混淆；未及时发送装运通知；海关与货代协同失败；信用证不符点导致拒付；索赔因程序或免赔额被拒；证据链断裂</x:v>
      </x:c>
      <x:c r="I59" s="26" t="str">
        <x:v>包装与装运；付款与交付；保险与仲裁；投诉、索赔与和解</x:v>
      </x:c>
    </x:row>
    <x:row r="60">
      <x:c r="A60" s="24" t="str">
        <x:v>K059</x:v>
      </x:c>
      <x:c r="B60" s="25" t="str">
        <x:v>装运中的文化敏感性</x:v>
      </x:c>
      <x:c r="C60" s="25" t="str">
        <x:v>Cultural sensitivities in shipping</x:v>
      </x:c>
      <x:c r="D60" s="25" t="str">
        <x:v>跨文化</x:v>
      </x:c>
      <x:c r="E60" s="25" t="str">
        <x:v>包装与装运</x:v>
      </x:c>
      <x:c r="F60" s="25" t="n">
        <x:v>2</x:v>
      </x:c>
      <x:c r="G60" s="25" t="str">
        <x:v>P5.02, P5.08</x:v>
      </x:c>
      <x:c r="H60" s="25" t="str">
        <x:v>唛头错误导致货物混淆；包装色彩或符号触犯文化禁忌</x:v>
      </x:c>
      <x:c r="I60" s="26" t="str">
        <x:v>包装与装运</x:v>
      </x:c>
    </x:row>
    <x:row r="61">
      <x:c r="A61" s="24" t="str">
        <x:v>K060</x:v>
      </x:c>
      <x:c r="B61" s="25" t="str">
        <x:v>包装环保与监管要求</x:v>
      </x:c>
      <x:c r="C61" s="25" t="str">
        <x:v>Packaging environmental protection and regulations</x:v>
      </x:c>
      <x:c r="D61" s="25" t="str">
        <x:v>法律规则</x:v>
      </x:c>
      <x:c r="E61" s="25" t="str">
        <x:v>包装与装运</x:v>
      </x:c>
      <x:c r="F61" s="25" t="n">
        <x:v>2</x:v>
      </x:c>
      <x:c r="G61" s="25" t="str">
        <x:v>P5.06, P7.07</x:v>
      </x:c>
      <x:c r="H61" s="25" t="str">
        <x:v>包装环保或监管不合规；多国认证或环保测试失败</x:v>
      </x:c>
      <x:c r="I61" s="26" t="str">
        <x:v>包装与装运；商品检验</x:v>
      </x:c>
    </x:row>
    <x:row r="62">
      <x:c r="A62" s="24" t="str">
        <x:v>K061</x:v>
      </x:c>
      <x:c r="B62" s="25" t="str">
        <x:v>包装成本控制</x:v>
      </x:c>
      <x:c r="C62" s="25" t="str">
        <x:v>Packaging cost control</x:v>
      </x:c>
      <x:c r="D62" s="25" t="str">
        <x:v>策略</x:v>
      </x:c>
      <x:c r="E62" s="25" t="str">
        <x:v>包装与装运</x:v>
      </x:c>
      <x:c r="F62" s="25" t="n">
        <x:v>1</x:v>
      </x:c>
      <x:c r="G62" s="25" t="str">
        <x:v>P5.01</x:v>
      </x:c>
      <x:c r="H62" s="25" t="str">
        <x:v>包装未通过防潮防盗或运输测试</x:v>
      </x:c>
      <x:c r="I62" s="26" t="str">
        <x:v>包装与装运</x:v>
      </x:c>
    </x:row>
    <x:row r="63">
      <x:c r="A63" s="24" t="str">
        <x:v>K062</x:v>
      </x:c>
      <x:c r="B63" s="25" t="str">
        <x:v>货运代理选择与协作</x:v>
      </x:c>
      <x:c r="C63" s="25" t="str">
        <x:v>Selection and cooperation with freight forwarders</x:v>
      </x:c>
      <x:c r="D63" s="25" t="str">
        <x:v>业务流程</x:v>
      </x:c>
      <x:c r="E63" s="25" t="str">
        <x:v>包装与装运</x:v>
      </x:c>
      <x:c r="F63" s="25" t="n">
        <x:v>3</x:v>
      </x:c>
      <x:c r="G63" s="25" t="str">
        <x:v>P5.03, P5.04, P5.07</x:v>
      </x:c>
      <x:c r="H63" s="25" t="str">
        <x:v>装箱与货物系固错误；运输方式错误或错过船期；海关与货代协同失败</x:v>
      </x:c>
      <x:c r="I63" s="26" t="str">
        <x:v>包装与装运</x:v>
      </x:c>
    </x:row>
    <x:row r="64">
      <x:c r="A64" s="24" t="str">
        <x:v>K063</x:v>
      </x:c>
      <x:c r="B64" s="25" t="str">
        <x:v>装运时间管理</x:v>
      </x:c>
      <x:c r="C64" s="25" t="str">
        <x:v>Shipment timing management</x:v>
      </x:c>
      <x:c r="D64" s="25" t="str">
        <x:v>业务流程</x:v>
      </x:c>
      <x:c r="E64" s="25" t="str">
        <x:v>包装与装运</x:v>
      </x:c>
      <x:c r="F64" s="25" t="n">
        <x:v>2</x:v>
      </x:c>
      <x:c r="G64" s="25" t="str">
        <x:v>P4.07, P5.04</x:v>
      </x:c>
      <x:c r="H64" s="25" t="str">
        <x:v>订货后交期持续漂移；运输方式错误或错过船期</x:v>
      </x:c>
      <x:c r="I64" s="26" t="str">
        <x:v>接受与订货；包装与装运</x:v>
      </x:c>
    </x:row>
    <x:row r="65">
      <x:c r="A65" s="24" t="str">
        <x:v>K064</x:v>
      </x:c>
      <x:c r="B65" s="25" t="str">
        <x:v>装运风险管理</x:v>
      </x:c>
      <x:c r="C65" s="25" t="str">
        <x:v>Risk management in shipping</x:v>
      </x:c>
      <x:c r="D65" s="25" t="str">
        <x:v>风险控制</x:v>
      </x:c>
      <x:c r="E65" s="25" t="str">
        <x:v>包装与装运</x:v>
      </x:c>
      <x:c r="F65" s="25" t="n">
        <x:v>3</x:v>
      </x:c>
      <x:c r="G65" s="25" t="str">
        <x:v>P5.01, P5.03, P9.07</x:v>
      </x:c>
      <x:c r="H65" s="25" t="str">
        <x:v>包装未通过防潮防盗或运输测试；装箱与货物系固错误；承运人与卖方责任混淆</x:v>
      </x:c>
      <x:c r="I65" s="26" t="str">
        <x:v>包装与装运；投诉、索赔与和解</x:v>
      </x:c>
    </x:row>
    <x:row r="66">
      <x:c r="A66" s="24" t="str">
        <x:v>K065</x:v>
      </x:c>
      <x:c r="B66" s="25" t="str">
        <x:v>国际运输规则、海关与港口物流</x:v>
      </x:c>
      <x:c r="C66" s="25" t="str">
        <x:v>International transport rules, customs, and port logistics</x:v>
      </x:c>
      <x:c r="D66" s="25" t="str">
        <x:v>业务流程</x:v>
      </x:c>
      <x:c r="E66" s="25" t="str">
        <x:v>包装与装运</x:v>
      </x:c>
      <x:c r="F66" s="25" t="n">
        <x:v>4</x:v>
      </x:c>
      <x:c r="G66" s="25" t="str">
        <x:v>P5.02, P5.05, P5.06, P5.07</x:v>
      </x:c>
      <x:c r="H66" s="25" t="str">
        <x:v>唛头错误导致货物混淆；未及时发送装运通知；包装环保或监管不合规；海关与货代协同失败</x:v>
      </x:c>
      <x:c r="I66" s="26" t="str">
        <x:v>包装与装运</x:v>
      </x:c>
    </x:row>
    <x:row r="67">
      <x:c r="A67" s="24" t="str">
        <x:v>K066</x:v>
      </x:c>
      <x:c r="B67" s="25" t="str">
        <x:v>信用证的开立、条款与解释</x:v>
      </x:c>
      <x:c r="C67" s="25" t="str">
        <x:v>Letter of Credit (L/C): issuance, terms, and interpretation</x:v>
      </x:c>
      <x:c r="D67" s="25" t="str">
        <x:v>法律规则</x:v>
      </x:c>
      <x:c r="E67" s="25" t="str">
        <x:v>付款与交付</x:v>
      </x:c>
      <x:c r="F67" s="25" t="n">
        <x:v>4</x:v>
      </x:c>
      <x:c r="G67" s="25" t="str">
        <x:v>P5.05, P6.02, P6.07, P7.03</x:v>
      </x:c>
      <x:c r="H67" s="25" t="str">
        <x:v>未及时发送装运通知；信用证不符点导致拒付；混合付款方案设计不当；证书不符阻碍付款</x:v>
      </x:c>
      <x:c r="I67" s="26" t="str">
        <x:v>包装与装运；付款与交付；商品检验</x:v>
      </x:c>
    </x:row>
    <x:row r="68">
      <x:c r="A68" s="24" t="str">
        <x:v>K067</x:v>
      </x:c>
      <x:c r="B68" s="25" t="str">
        <x:v>电汇（T/T）</x:v>
      </x:c>
      <x:c r="C68" s="25" t="str">
        <x:v>Telegraphic Transfer (T/T)</x:v>
      </x:c>
      <x:c r="D68" s="25" t="str">
        <x:v>概念</x:v>
      </x:c>
      <x:c r="E68" s="25" t="str">
        <x:v>付款与交付</x:v>
      </x:c>
      <x:c r="F68" s="25" t="n">
        <x:v>1</x:v>
      </x:c>
      <x:c r="G68" s="25" t="str">
        <x:v>P6.04</x:v>
      </x:c>
      <x:c r="H68" s="25" t="str">
        <x:v>T/T 余款拖延或信用被滥用</x:v>
      </x:c>
      <x:c r="I68" s="26" t="str">
        <x:v>付款与交付</x:v>
      </x:c>
    </x:row>
    <x:row r="69">
      <x:c r="A69" s="24" t="str">
        <x:v>K068</x:v>
      </x:c>
      <x:c r="B69" s="25" t="str">
        <x:v>跟单托收（D/P、D/A）</x:v>
      </x:c>
      <x:c r="C69" s="25" t="str">
        <x:v>Documentary Collection (D/P, D/A)</x:v>
      </x:c>
      <x:c r="D69" s="25" t="str">
        <x:v>概念</x:v>
      </x:c>
      <x:c r="E69" s="25" t="str">
        <x:v>付款与交付</x:v>
      </x:c>
      <x:c r="F69" s="25" t="n">
        <x:v>1</x:v>
      </x:c>
      <x:c r="G69" s="25" t="str">
        <x:v>P6.04</x:v>
      </x:c>
      <x:c r="H69" s="25" t="str">
        <x:v>T/T 余款拖延或信用被滥用</x:v>
      </x:c>
      <x:c r="I69" s="26" t="str">
        <x:v>付款与交付</x:v>
      </x:c>
    </x:row>
    <x:row r="70">
      <x:c r="A70" s="24" t="str">
        <x:v>K069</x:v>
      </x:c>
      <x:c r="B70" s="25" t="str">
        <x:v>付款方式僵局处理</x:v>
      </x:c>
      <x:c r="C70" s="25" t="str">
        <x:v>Payment-method deadlock handling</x:v>
      </x:c>
      <x:c r="D70" s="25" t="str">
        <x:v>策略</x:v>
      </x:c>
      <x:c r="E70" s="25" t="str">
        <x:v>付款与交付</x:v>
      </x:c>
      <x:c r="F70" s="25" t="n">
        <x:v>3</x:v>
      </x:c>
      <x:c r="G70" s="25" t="str">
        <x:v>P3.01, P6.01, P6.07</x:v>
      </x:c>
      <x:c r="H70" s="25" t="str">
        <x:v>反复还盘陷入僵局；付款方式谈判僵局；混合付款方案设计不当</x:v>
      </x:c>
      <x:c r="I70" s="26" t="str">
        <x:v>还盘；付款与交付</x:v>
      </x:c>
    </x:row>
    <x:row r="71">
      <x:c r="A71" s="24" t="str">
        <x:v>K070</x:v>
      </x:c>
      <x:c r="B71" s="25" t="str">
        <x:v>付款方式比较与选择</x:v>
      </x:c>
      <x:c r="C71" s="25" t="str">
        <x:v>Comparison and selection of payment methods</x:v>
      </x:c>
      <x:c r="D71" s="25" t="str">
        <x:v>策略</x:v>
      </x:c>
      <x:c r="E71" s="25" t="str">
        <x:v>付款与交付</x:v>
      </x:c>
      <x:c r="F71" s="25" t="n">
        <x:v>3</x:v>
      </x:c>
      <x:c r="G71" s="25" t="str">
        <x:v>P6.01, P6.04, P6.07</x:v>
      </x:c>
      <x:c r="H71" s="25" t="str">
        <x:v>付款方式谈判僵局；T/T 余款拖延或信用被滥用；混合付款方案设计不当</x:v>
      </x:c>
      <x:c r="I71" s="26" t="str">
        <x:v>付款与交付</x:v>
      </x:c>
    </x:row>
    <x:row r="72">
      <x:c r="A72" s="24" t="str">
        <x:v>K071</x:v>
      </x:c>
      <x:c r="B72" s="25" t="str">
        <x:v>交付条件与验收标准</x:v>
      </x:c>
      <x:c r="C72" s="25" t="str">
        <x:v>Delivery terms and acceptance standards</x:v>
      </x:c>
      <x:c r="D72" s="25" t="str">
        <x:v>法律规则</x:v>
      </x:c>
      <x:c r="E72" s="25" t="str">
        <x:v>付款与交付</x:v>
      </x:c>
      <x:c r="F72" s="25" t="n">
        <x:v>3</x:v>
      </x:c>
      <x:c r="G72" s="25" t="str">
        <x:v>P6.05, P6.06, P9.07</x:v>
      </x:c>
      <x:c r="H72" s="25" t="str">
        <x:v>交付迟延构成违约；交付验收标准争议；承运人与卖方责任混淆</x:v>
      </x:c>
      <x:c r="I72" s="26" t="str">
        <x:v>付款与交付；投诉、索赔与和解</x:v>
      </x:c>
    </x:row>
    <x:row r="73">
      <x:c r="A73" s="24" t="str">
        <x:v>K072</x:v>
      </x:c>
      <x:c r="B73" s="25" t="str">
        <x:v>付款与交付的跨文化差异</x:v>
      </x:c>
      <x:c r="C73" s="25" t="str">
        <x:v>Cross-cultural differences in payment and delivery</x:v>
      </x:c>
      <x:c r="D73" s="25" t="str">
        <x:v>跨文化</x:v>
      </x:c>
      <x:c r="E73" s="25" t="str">
        <x:v>付款与交付</x:v>
      </x:c>
      <x:c r="F73" s="25" t="n">
        <x:v>1</x:v>
      </x:c>
      <x:c r="G73" s="25" t="str">
        <x:v>P6.01</x:v>
      </x:c>
      <x:c r="H73" s="25" t="str">
        <x:v>付款方式谈判僵局</x:v>
      </x:c>
      <x:c r="I73" s="26" t="str">
        <x:v>付款与交付</x:v>
      </x:c>
    </x:row>
    <x:row r="74">
      <x:c r="A74" s="24" t="str">
        <x:v>K073</x:v>
      </x:c>
      <x:c r="B74" s="25" t="str">
        <x:v>预付款、融资与赊销</x:v>
      </x:c>
      <x:c r="C74" s="25" t="str">
        <x:v>Prepayments, financing, and credit sales</x:v>
      </x:c>
      <x:c r="D74" s="25" t="str">
        <x:v>策略</x:v>
      </x:c>
      <x:c r="E74" s="25" t="str">
        <x:v>付款与交付</x:v>
      </x:c>
      <x:c r="F74" s="25" t="n">
        <x:v>3</x:v>
      </x:c>
      <x:c r="G74" s="25" t="str">
        <x:v>P6.01, P6.04, P6.07</x:v>
      </x:c>
      <x:c r="H74" s="25" t="str">
        <x:v>付款方式谈判僵局；T/T 余款拖延或信用被滥用；混合付款方案设计不当</x:v>
      </x:c>
      <x:c r="I74" s="26" t="str">
        <x:v>付款与交付</x:v>
      </x:c>
    </x:row>
    <x:row r="75">
      <x:c r="A75" s="24" t="str">
        <x:v>K074</x:v>
      </x:c>
      <x:c r="B75" s="25" t="str">
        <x:v>交付迟延与合同违约</x:v>
      </x:c>
      <x:c r="C75" s="25" t="str">
        <x:v>Delivery delays and breach of contract</x:v>
      </x:c>
      <x:c r="D75" s="25" t="str">
        <x:v>法律规则</x:v>
      </x:c>
      <x:c r="E75" s="25" t="str">
        <x:v>付款与交付</x:v>
      </x:c>
      <x:c r="F75" s="25" t="n">
        <x:v>5</x:v>
      </x:c>
      <x:c r="G75" s="25" t="str">
        <x:v>P4.04, P4.07, P6.05, P8.06, P9.05</x:v>
      </x:c>
      <x:c r="H75" s="25" t="str">
        <x:v>合同成立后取消；订货后交期持续漂移；交付迟延构成违约；保险损失与不可抗力混淆；不当援引不可抗力</x:v>
      </x:c>
      <x:c r="I75" s="26" t="str">
        <x:v>接受与订货；付款与交付；保险与仲裁；投诉、索赔与和解</x:v>
      </x:c>
    </x:row>
    <x:row r="76">
      <x:c r="A76" s="24" t="str">
        <x:v>K075</x:v>
      </x:c>
      <x:c r="B76" s="25" t="str">
        <x:v>汇率风险管理</x:v>
      </x:c>
      <x:c r="C76" s="25" t="str">
        <x:v>Exchange rate risk management</x:v>
      </x:c>
      <x:c r="D76" s="25" t="str">
        <x:v>风险控制</x:v>
      </x:c>
      <x:c r="E76" s="25" t="str">
        <x:v>付款与交付</x:v>
      </x:c>
      <x:c r="F76" s="25" t="n">
        <x:v>1</x:v>
      </x:c>
      <x:c r="G76" s="25" t="str">
        <x:v>P6.03</x:v>
      </x:c>
      <x:c r="H76" s="25" t="str">
        <x:v>汇率波动侵蚀利润</x:v>
      </x:c>
      <x:c r="I76" s="26" t="str">
        <x:v>付款与交付</x:v>
      </x:c>
    </x:row>
    <x:row r="77">
      <x:c r="A77" s="24" t="str">
        <x:v>K076</x:v>
      </x:c>
      <x:c r="B77" s="25" t="str">
        <x:v>混合与综合付款方式</x:v>
      </x:c>
      <x:c r="C77" s="25" t="str">
        <x:v>Hybrid and integrated payment methods</x:v>
      </x:c>
      <x:c r="D77" s="25" t="str">
        <x:v>策略</x:v>
      </x:c>
      <x:c r="E77" s="25" t="str">
        <x:v>付款与交付</x:v>
      </x:c>
      <x:c r="F77" s="25" t="n">
        <x:v>3</x:v>
      </x:c>
      <x:c r="G77" s="25" t="str">
        <x:v>P6.01, P6.03, P6.07</x:v>
      </x:c>
      <x:c r="H77" s="25" t="str">
        <x:v>付款方式谈判僵局；汇率波动侵蚀利润；混合付款方案设计不当</x:v>
      </x:c>
      <x:c r="I77" s="26" t="str">
        <x:v>付款与交付</x:v>
      </x:c>
    </x:row>
    <x:row r="78">
      <x:c r="A78" s="24" t="str">
        <x:v>K077</x:v>
      </x:c>
      <x:c r="B78" s="25" t="str">
        <x:v>国际银行业务与托收技巧</x:v>
      </x:c>
      <x:c r="C78" s="25" t="str">
        <x:v>International banking operations and collection techniques</x:v>
      </x:c>
      <x:c r="D78" s="25" t="str">
        <x:v>业务流程</x:v>
      </x:c>
      <x:c r="E78" s="25" t="str">
        <x:v>付款与交付</x:v>
      </x:c>
      <x:c r="F78" s="25" t="n">
        <x:v>3</x:v>
      </x:c>
      <x:c r="G78" s="25" t="str">
        <x:v>P6.02, P6.04, P7.03</x:v>
      </x:c>
      <x:c r="H78" s="25" t="str">
        <x:v>信用证不符点导致拒付；T/T 余款拖延或信用被滥用；证书不符阻碍付款</x:v>
      </x:c>
      <x:c r="I78" s="26" t="str">
        <x:v>付款与交付；商品检验</x:v>
      </x:c>
    </x:row>
    <x:row r="79">
      <x:c r="A79" s="24" t="str">
        <x:v>K078</x:v>
      </x:c>
      <x:c r="B79" s="25" t="str">
        <x:v>商品检验的定义</x:v>
      </x:c>
      <x:c r="C79" s="25" t="str">
        <x:v>Definition of commodity inspection</x:v>
      </x:c>
      <x:c r="D79" s="25" t="str">
        <x:v>概念</x:v>
      </x:c>
      <x:c r="E79" s="25" t="str">
        <x:v>商品检验</x:v>
      </x:c>
      <x:c r="F79" s="25" t="n">
        <x:v>2</x:v>
      </x:c>
      <x:c r="G79" s="25" t="str">
        <x:v>P7.01, P9.01</x:v>
      </x:c>
      <x:c r="H79" s="25" t="str">
        <x:v>检验地点与时间争议；到货质量或数量投诉</x:v>
      </x:c>
      <x:c r="I79" s="26" t="str">
        <x:v>商品检验；投诉、索赔与和解</x:v>
      </x:c>
    </x:row>
    <x:row r="80">
      <x:c r="A80" s="24" t="str">
        <x:v>K079</x:v>
      </x:c>
      <x:c r="B80" s="25" t="str">
        <x:v>商品检验流程</x:v>
      </x:c>
      <x:c r="C80" s="25" t="str">
        <x:v>Commodity inspection process</x:v>
      </x:c>
      <x:c r="D80" s="25" t="str">
        <x:v>业务流程</x:v>
      </x:c>
      <x:c r="E80" s="25" t="str">
        <x:v>商品检验</x:v>
      </x:c>
      <x:c r="F80" s="25" t="n">
        <x:v>1</x:v>
      </x:c>
      <x:c r="G80" s="25" t="str">
        <x:v>P7.01</x:v>
      </x:c>
      <x:c r="H80" s="25" t="str">
        <x:v>检验地点与时间争议</x:v>
      </x:c>
      <x:c r="I80" s="26" t="str">
        <x:v>商品检验</x:v>
      </x:c>
    </x:row>
    <x:row r="81">
      <x:c r="A81" s="24" t="str">
        <x:v>K080</x:v>
      </x:c>
      <x:c r="B81" s="25" t="str">
        <x:v>检验标准、方法与抽样</x:v>
      </x:c>
      <x:c r="C81" s="25" t="str">
        <x:v>Inspection standards, methods, and sampling</x:v>
      </x:c>
      <x:c r="D81" s="25" t="str">
        <x:v>业务流程</x:v>
      </x:c>
      <x:c r="E81" s="25" t="str">
        <x:v>商品检验</x:v>
      </x:c>
      <x:c r="F81" s="25" t="n">
        <x:v>2</x:v>
      </x:c>
      <x:c r="G81" s="25" t="str">
        <x:v>P7.02, P7.06</x:v>
      </x:c>
      <x:c r="H81" s="25" t="str">
        <x:v>检验标准相互冲突；抽样方法争议</x:v>
      </x:c>
      <x:c r="I81" s="26" t="str">
        <x:v>商品检验</x:v>
      </x:c>
    </x:row>
    <x:row r="82">
      <x:c r="A82" s="24" t="str">
        <x:v>K081</x:v>
      </x:c>
      <x:c r="B82" s="25" t="str">
        <x:v>检验地点与时间</x:v>
      </x:c>
      <x:c r="C82" s="25" t="str">
        <x:v>Inspection location and timing</x:v>
      </x:c>
      <x:c r="D82" s="25" t="str">
        <x:v>法律规则</x:v>
      </x:c>
      <x:c r="E82" s="25" t="str">
        <x:v>商品检验</x:v>
      </x:c>
      <x:c r="F82" s="25" t="n">
        <x:v>3</x:v>
      </x:c>
      <x:c r="G82" s="25" t="str">
        <x:v>P6.06, P7.01, P7.05</x:v>
      </x:c>
      <x:c r="H82" s="25" t="str">
        <x:v>交付验收标准争议；检验地点与时间争议；产地检验合格但目的地不合格</x:v>
      </x:c>
      <x:c r="I82" s="26" t="str">
        <x:v>付款与交付；商品检验</x:v>
      </x:c>
    </x:row>
    <x:row r="83">
      <x:c r="A83" s="24" t="str">
        <x:v>K082</x:v>
      </x:c>
      <x:c r="B83" s="25" t="str">
        <x:v>检验证书与单据</x:v>
      </x:c>
      <x:c r="C83" s="25" t="str">
        <x:v>Inspection certificates and documents</x:v>
      </x:c>
      <x:c r="D83" s="25" t="str">
        <x:v>业务流程</x:v>
      </x:c>
      <x:c r="E83" s="25" t="str">
        <x:v>商品检验</x:v>
      </x:c>
      <x:c r="F83" s="25" t="n">
        <x:v>3</x:v>
      </x:c>
      <x:c r="G83" s="25" t="str">
        <x:v>P6.02, P7.03, P9.04</x:v>
      </x:c>
      <x:c r="H83" s="25" t="str">
        <x:v>信用证不符点导致拒付；证书不符阻碍付款；证据链断裂</x:v>
      </x:c>
      <x:c r="I83" s="26" t="str">
        <x:v>付款与交付；商品检验；投诉、索赔与和解</x:v>
      </x:c>
    </x:row>
    <x:row r="84">
      <x:c r="A84" s="24" t="str">
        <x:v>K083</x:v>
      </x:c>
      <x:c r="B84" s="25" t="str">
        <x:v>检验争议与复验处理</x:v>
      </x:c>
      <x:c r="C84" s="25" t="str">
        <x:v>Handling inspection disputes and re-inspection</x:v>
      </x:c>
      <x:c r="D84" s="25" t="str">
        <x:v>业务流程</x:v>
      </x:c>
      <x:c r="E84" s="25" t="str">
        <x:v>商品检验</x:v>
      </x:c>
      <x:c r="F84" s="25" t="n">
        <x:v>4</x:v>
      </x:c>
      <x:c r="G84" s="25" t="str">
        <x:v>P7.03, P7.05, P7.06, P9.01</x:v>
      </x:c>
      <x:c r="H84" s="25" t="str">
        <x:v>证书不符阻碍付款；产地检验合格但目的地不合格；抽样方法争议；到货质量或数量投诉</x:v>
      </x:c>
      <x:c r="I84" s="26" t="str">
        <x:v>商品检验；投诉、索赔与和解</x:v>
      </x:c>
    </x:row>
    <x:row r="85">
      <x:c r="A85" s="24" t="str">
        <x:v>K084</x:v>
      </x:c>
      <x:c r="B85" s="25" t="str">
        <x:v>商品检验的跨文化差异</x:v>
      </x:c>
      <x:c r="C85" s="25" t="str">
        <x:v>Cross-cultural differences in commodity inspection</x:v>
      </x:c>
      <x:c r="D85" s="25" t="str">
        <x:v>跨文化</x:v>
      </x:c>
      <x:c r="E85" s="25" t="str">
        <x:v>商品检验</x:v>
      </x:c>
      <x:c r="F85" s="25" t="n">
        <x:v>2</x:v>
      </x:c>
      <x:c r="G85" s="25" t="str">
        <x:v>P7.02, P7.06</x:v>
      </x:c>
      <x:c r="H85" s="25" t="str">
        <x:v>检验标准相互冲突；抽样方法争议</x:v>
      </x:c>
      <x:c r="I85" s="26" t="str">
        <x:v>商品检验</x:v>
      </x:c>
    </x:row>
    <x:row r="86">
      <x:c r="A86" s="24" t="str">
        <x:v>K085</x:v>
      </x:c>
      <x:c r="B86" s="25" t="str">
        <x:v>检验机构选择标准</x:v>
      </x:c>
      <x:c r="C86" s="25" t="str">
        <x:v>Selection criteria for inspection agencies</x:v>
      </x:c>
      <x:c r="D86" s="25" t="str">
        <x:v>策略</x:v>
      </x:c>
      <x:c r="E86" s="25" t="str">
        <x:v>商品检验</x:v>
      </x:c>
      <x:c r="F86" s="25" t="n">
        <x:v>3</x:v>
      </x:c>
      <x:c r="G86" s="25" t="str">
        <x:v>P7.02, P7.04, P7.07</x:v>
      </x:c>
      <x:c r="H86" s="25" t="str">
        <x:v>检验标准相互冲突；检验费用承担争议；多国认证或环保测试失败</x:v>
      </x:c>
      <x:c r="I86" s="26" t="str">
        <x:v>商品检验</x:v>
      </x:c>
    </x:row>
    <x:row r="87">
      <x:c r="A87" s="24" t="str">
        <x:v>K086</x:v>
      </x:c>
      <x:c r="B87" s="25" t="str">
        <x:v>检验费用及其分配</x:v>
      </x:c>
      <x:c r="C87" s="25" t="str">
        <x:v>Inspection costs and allocation</x:v>
      </x:c>
      <x:c r="D87" s="25" t="str">
        <x:v>法律规则</x:v>
      </x:c>
      <x:c r="E87" s="25" t="str">
        <x:v>商品检验</x:v>
      </x:c>
      <x:c r="F87" s="25" t="n">
        <x:v>1</x:v>
      </x:c>
      <x:c r="G87" s="25" t="str">
        <x:v>P7.04</x:v>
      </x:c>
      <x:c r="H87" s="25" t="str">
        <x:v>检验费用承担争议</x:v>
      </x:c>
      <x:c r="I87" s="26" t="str">
        <x:v>商品检验</x:v>
      </x:c>
    </x:row>
    <x:row r="88">
      <x:c r="A88" s="24" t="str">
        <x:v>K087</x:v>
      </x:c>
      <x:c r="B88" s="25" t="str">
        <x:v>检验与保险的关系</x:v>
      </x:c>
      <x:c r="C88" s="25" t="str">
        <x:v>Relationship between inspection and insurance</x:v>
      </x:c>
      <x:c r="D88" s="25" t="str">
        <x:v>概念</x:v>
      </x:c>
      <x:c r="E88" s="25" t="str">
        <x:v>商品检验</x:v>
      </x:c>
      <x:c r="F88" s="25" t="n">
        <x:v>1</x:v>
      </x:c>
      <x:c r="G88" s="25" t="str">
        <x:v>P7.05</x:v>
      </x:c>
      <x:c r="H88" s="25" t="str">
        <x:v>产地检验合格但目的地不合格</x:v>
      </x:c>
      <x:c r="I88" s="26" t="str">
        <x:v>商品检验</x:v>
      </x:c>
    </x:row>
    <x:row r="89">
      <x:c r="A89" s="24" t="str">
        <x:v>K088</x:v>
      </x:c>
      <x:c r="B89" s="25" t="str">
        <x:v>商品检验法规与质量控制</x:v>
      </x:c>
      <x:c r="C89" s="25" t="str">
        <x:v>Commodity inspection laws and quality control</x:v>
      </x:c>
      <x:c r="D89" s="25" t="str">
        <x:v>法律规则</x:v>
      </x:c>
      <x:c r="E89" s="25" t="str">
        <x:v>商品检验</x:v>
      </x:c>
      <x:c r="F89" s="25" t="n">
        <x:v>3</x:v>
      </x:c>
      <x:c r="G89" s="25" t="str">
        <x:v>P7.02, P7.06, P7.07</x:v>
      </x:c>
      <x:c r="H89" s="25" t="str">
        <x:v>检验标准相互冲突；抽样方法争议；多国认证或环保测试失败</x:v>
      </x:c>
      <x:c r="I89" s="26" t="str">
        <x:v>商品检验</x:v>
      </x:c>
    </x:row>
    <x:row r="90">
      <x:c r="A90" s="24" t="str">
        <x:v>K089</x:v>
      </x:c>
      <x:c r="B90" s="25" t="str">
        <x:v>多国检验、认证与环保测试</x:v>
      </x:c>
      <x:c r="C90" s="25" t="str">
        <x:v>Multi-country inspection, certification, and environmental testing</x:v>
      </x:c>
      <x:c r="D90" s="25" t="str">
        <x:v>业务流程</x:v>
      </x:c>
      <x:c r="E90" s="25" t="str">
        <x:v>商品检验</x:v>
      </x:c>
      <x:c r="F90" s="25" t="n">
        <x:v>2</x:v>
      </x:c>
      <x:c r="G90" s="25" t="str">
        <x:v>P5.06, P7.07</x:v>
      </x:c>
      <x:c r="H90" s="25" t="str">
        <x:v>包装环保或监管不合规；多国认证或环保测试失败</x:v>
      </x:c>
      <x:c r="I90" s="26" t="str">
        <x:v>包装与装运；商品检验</x:v>
      </x:c>
    </x:row>
    <x:row r="91">
      <x:c r="A91" s="24" t="str">
        <x:v>K090</x:v>
      </x:c>
      <x:c r="B91" s="25" t="str">
        <x:v>货物运输保险的定义</x:v>
      </x:c>
      <x:c r="C91" s="25" t="str">
        <x:v>Definition of cargo insurance</x:v>
      </x:c>
      <x:c r="D91" s="25" t="str">
        <x:v>概念</x:v>
      </x:c>
      <x:c r="E91" s="25" t="str">
        <x:v>保险与仲裁</x:v>
      </x:c>
      <x:c r="F91" s="25" t="n">
        <x:v>3</x:v>
      </x:c>
      <x:c r="G91" s="25" t="str">
        <x:v>P8.01, P8.06, P9.07</x:v>
      </x:c>
      <x:c r="H91" s="25" t="str">
        <x:v>不足额投保或险别与术语不匹配；保险损失与不可抗力混淆；承运人与卖方责任混淆</x:v>
      </x:c>
      <x:c r="I91" s="26" t="str">
        <x:v>保险与仲裁；投诉、索赔与和解</x:v>
      </x:c>
    </x:row>
    <x:row r="92">
      <x:c r="A92" s="24" t="str">
        <x:v>K091</x:v>
      </x:c>
      <x:c r="B92" s="25" t="str">
        <x:v>保险险别与承保范围选择</x:v>
      </x:c>
      <x:c r="C92" s="25" t="str">
        <x:v>Types of insurance and coverage selection</x:v>
      </x:c>
      <x:c r="D92" s="25" t="str">
        <x:v>策略</x:v>
      </x:c>
      <x:c r="E92" s="25" t="str">
        <x:v>保险与仲裁</x:v>
      </x:c>
      <x:c r="F92" s="25" t="n">
        <x:v>1</x:v>
      </x:c>
      <x:c r="G92" s="25" t="str">
        <x:v>P8.01</x:v>
      </x:c>
      <x:c r="H92" s="25" t="str">
        <x:v>不足额投保或险别与术语不匹配</x:v>
      </x:c>
      <x:c r="I92" s="26" t="str">
        <x:v>保险与仲裁</x:v>
      </x:c>
    </x:row>
    <x:row r="93">
      <x:c r="A93" s="24" t="str">
        <x:v>K092</x:v>
      </x:c>
      <x:c r="B93" s="25" t="str">
        <x:v>保险金额、估值与保费计算</x:v>
      </x:c>
      <x:c r="C93" s="25" t="str">
        <x:v>Insured amount, valuation, and premium calculation</x:v>
      </x:c>
      <x:c r="D93" s="25" t="str">
        <x:v>业务流程</x:v>
      </x:c>
      <x:c r="E93" s="25" t="str">
        <x:v>保险与仲裁</x:v>
      </x:c>
      <x:c r="F93" s="25" t="n">
        <x:v>2</x:v>
      </x:c>
      <x:c r="G93" s="25" t="str">
        <x:v>P8.01, P8.02</x:v>
      </x:c>
      <x:c r="H93" s="25" t="str">
        <x:v>不足额投保或险别与术语不匹配；索赔因程序或免赔额被拒</x:v>
      </x:c>
      <x:c r="I93" s="26" t="str">
        <x:v>保险与仲裁</x:v>
      </x:c>
    </x:row>
    <x:row r="94">
      <x:c r="A94" s="24" t="str">
        <x:v>K093</x:v>
      </x:c>
      <x:c r="B94" s="25" t="str">
        <x:v>投保与保险索赔程序</x:v>
      </x:c>
      <x:c r="C94" s="25" t="str">
        <x:v>Insurance application and claim procedures</x:v>
      </x:c>
      <x:c r="D94" s="25" t="str">
        <x:v>业务流程</x:v>
      </x:c>
      <x:c r="E94" s="25" t="str">
        <x:v>保险与仲裁</x:v>
      </x:c>
      <x:c r="F94" s="25" t="n">
        <x:v>4</x:v>
      </x:c>
      <x:c r="G94" s="25" t="str">
        <x:v>P5.05, P7.05, P8.02, P9.04</x:v>
      </x:c>
      <x:c r="H94" s="25" t="str">
        <x:v>未及时发送装运通知；产地检验合格但目的地不合格；索赔因程序或免赔额被拒；证据链断裂</x:v>
      </x:c>
      <x:c r="I94" s="26" t="str">
        <x:v>包装与装运；商品检验；保险与仲裁；投诉、索赔与和解</x:v>
      </x:c>
    </x:row>
    <x:row r="95">
      <x:c r="A95" s="24" t="str">
        <x:v>K094</x:v>
      </x:c>
      <x:c r="B95" s="25" t="str">
        <x:v>免赔额与国际保险条款</x:v>
      </x:c>
      <x:c r="C95" s="25" t="str">
        <x:v>Deductible clauses and international insurance clauses</x:v>
      </x:c>
      <x:c r="D95" s="25" t="str">
        <x:v>法律规则</x:v>
      </x:c>
      <x:c r="E95" s="25" t="str">
        <x:v>保险与仲裁</x:v>
      </x:c>
      <x:c r="F95" s="25" t="n">
        <x:v>2</x:v>
      </x:c>
      <x:c r="G95" s="25" t="str">
        <x:v>P8.01, P8.02</x:v>
      </x:c>
      <x:c r="H95" s="25" t="str">
        <x:v>不足额投保或险别与术语不匹配；索赔因程序或免赔额被拒</x:v>
      </x:c>
      <x:c r="I95" s="26" t="str">
        <x:v>保险与仲裁</x:v>
      </x:c>
    </x:row>
    <x:row r="96">
      <x:c r="A96" s="24" t="str">
        <x:v>K095</x:v>
      </x:c>
      <x:c r="B96" s="25" t="str">
        <x:v>仲裁的定义与优势</x:v>
      </x:c>
      <x:c r="C96" s="25" t="str">
        <x:v>Definition and advantages of arbitration</x:v>
      </x:c>
      <x:c r="D96" s="25" t="str">
        <x:v>概念</x:v>
      </x:c>
      <x:c r="E96" s="25" t="str">
        <x:v>保险与仲裁</x:v>
      </x:c>
      <x:c r="F96" s="25" t="n">
        <x:v>2</x:v>
      </x:c>
      <x:c r="G96" s="25" t="str">
        <x:v>P8.03, P8.05</x:v>
      </x:c>
      <x:c r="H96" s="25" t="str">
        <x:v>仲裁条款缺失或含糊；诉讼与仲裁选择分歧</x:v>
      </x:c>
      <x:c r="I96" s="26" t="str">
        <x:v>保险与仲裁</x:v>
      </x:c>
    </x:row>
    <x:row r="97">
      <x:c r="A97" s="24" t="str">
        <x:v>K096</x:v>
      </x:c>
      <x:c r="B97" s="25" t="str">
        <x:v>仲裁制度与机构选择</x:v>
      </x:c>
      <x:c r="C97" s="25" t="str">
        <x:v>Arbitration systems and institution selection</x:v>
      </x:c>
      <x:c r="D97" s="25" t="str">
        <x:v>策略</x:v>
      </x:c>
      <x:c r="E97" s="25" t="str">
        <x:v>保险与仲裁</x:v>
      </x:c>
      <x:c r="F97" s="25" t="n">
        <x:v>3</x:v>
      </x:c>
      <x:c r="G97" s="25" t="str">
        <x:v>P8.04, P8.05, P8.07</x:v>
      </x:c>
      <x:c r="H97" s="25" t="str">
        <x:v>仲裁地不当导致裁决难执行；诉讼与仲裁选择分歧；仲裁成本与周期失控</x:v>
      </x:c>
      <x:c r="I97" s="26" t="str">
        <x:v>保险与仲裁</x:v>
      </x:c>
    </x:row>
    <x:row r="98">
      <x:c r="A98" s="24" t="str">
        <x:v>K097</x:v>
      </x:c>
      <x:c r="B98" s="25" t="str">
        <x:v>仲裁条款起草</x:v>
      </x:c>
      <x:c r="C98" s="25" t="str">
        <x:v>Drafting arbitration clauses</x:v>
      </x:c>
      <x:c r="D98" s="25" t="str">
        <x:v>法律规则</x:v>
      </x:c>
      <x:c r="E98" s="25" t="str">
        <x:v>保险与仲裁</x:v>
      </x:c>
      <x:c r="F98" s="25" t="n">
        <x:v>2</x:v>
      </x:c>
      <x:c r="G98" s="25" t="str">
        <x:v>P8.03, P8.04</x:v>
      </x:c>
      <x:c r="H98" s="25" t="str">
        <x:v>仲裁条款缺失或含糊；仲裁地不当导致裁决难执行</x:v>
      </x:c>
      <x:c r="I98" s="26" t="str">
        <x:v>保险与仲裁</x:v>
      </x:c>
    </x:row>
    <x:row r="99">
      <x:c r="A99" s="24" t="str">
        <x:v>K098</x:v>
      </x:c>
      <x:c r="B99" s="25" t="str">
        <x:v>仲裁程序、费用与裁决执行</x:v>
      </x:c>
      <x:c r="C99" s="25" t="str">
        <x:v>Arbitration procedures, costs, and award enforcement</x:v>
      </x:c>
      <x:c r="D99" s="25" t="str">
        <x:v>业务流程</x:v>
      </x:c>
      <x:c r="E99" s="25" t="str">
        <x:v>保险与仲裁</x:v>
      </x:c>
      <x:c r="F99" s="25" t="n">
        <x:v>3</x:v>
      </x:c>
      <x:c r="G99" s="25" t="str">
        <x:v>P8.04, P8.07, P9.03</x:v>
      </x:c>
      <x:c r="H99" s="25" t="str">
        <x:v>仲裁地不当导致裁决难执行；仲裁成本与周期失控；超过时效提出索赔</x:v>
      </x:c>
      <x:c r="I99" s="26" t="str">
        <x:v>保险与仲裁；投诉、索赔与和解</x:v>
      </x:c>
    </x:row>
    <x:row r="100">
      <x:c r="A100" s="24" t="str">
        <x:v>K099</x:v>
      </x:c>
      <x:c r="B100" s="25" t="str">
        <x:v>准据法与管辖权</x:v>
      </x:c>
      <x:c r="C100" s="25" t="str">
        <x:v>Applicable law and jurisdiction</x:v>
      </x:c>
      <x:c r="D100" s="25" t="str">
        <x:v>法律规则</x:v>
      </x:c>
      <x:c r="E100" s="25" t="str">
        <x:v>保险与仲裁</x:v>
      </x:c>
      <x:c r="F100" s="25" t="n">
        <x:v>2</x:v>
      </x:c>
      <x:c r="G100" s="25" t="str">
        <x:v>P8.03, P8.04</x:v>
      </x:c>
      <x:c r="H100" s="25" t="str">
        <x:v>仲裁条款缺失或含糊；仲裁地不当导致裁决难执行</x:v>
      </x:c>
      <x:c r="I100" s="26" t="str">
        <x:v>保险与仲裁</x:v>
      </x:c>
    </x:row>
    <x:row r="101">
      <x:c r="A101" s="24" t="str">
        <x:v>K100</x:v>
      </x:c>
      <x:c r="B101" s="25" t="str">
        <x:v>保险与仲裁的跨文化差异</x:v>
      </x:c>
      <x:c r="C101" s="25" t="str">
        <x:v>Cross-cultural differences in insurance and arbitration</x:v>
      </x:c>
      <x:c r="D101" s="25" t="str">
        <x:v>跨文化</x:v>
      </x:c>
      <x:c r="E101" s="25" t="str">
        <x:v>保险与仲裁</x:v>
      </x:c>
      <x:c r="F101" s="25" t="n">
        <x:v>2</x:v>
      </x:c>
      <x:c r="G101" s="25" t="str">
        <x:v>P3.05, P8.05</x:v>
      </x:c>
      <x:c r="H101" s="25" t="str">
        <x:v>威胁对方面子的谈判；诉讼与仲裁选择分歧</x:v>
      </x:c>
      <x:c r="I101" s="26" t="str">
        <x:v>还盘；保险与仲裁</x:v>
      </x:c>
    </x:row>
    <x:row r="102">
      <x:c r="A102" s="24" t="str">
        <x:v>K101</x:v>
      </x:c>
      <x:c r="B102" s="25" t="str">
        <x:v>投诉的定义与分类</x:v>
      </x:c>
      <x:c r="C102" s="25" t="str">
        <x:v>Definition and classification of complaints</x:v>
      </x:c>
      <x:c r="D102" s="25" t="str">
        <x:v>概念</x:v>
      </x:c>
      <x:c r="E102" s="25" t="str">
        <x:v>投诉、索赔与和解</x:v>
      </x:c>
      <x:c r="F102" s="25" t="n">
        <x:v>1</x:v>
      </x:c>
      <x:c r="G102" s="25" t="str">
        <x:v>P9.01</x:v>
      </x:c>
      <x:c r="H102" s="25" t="str">
        <x:v>到货质量或数量投诉</x:v>
      </x:c>
      <x:c r="I102" s="26" t="str">
        <x:v>投诉、索赔与和解</x:v>
      </x:c>
    </x:row>
    <x:row r="103">
      <x:c r="A103" s="24" t="str">
        <x:v>K102</x:v>
      </x:c>
      <x:c r="B103" s="25" t="str">
        <x:v>投诉处理原则与流程</x:v>
      </x:c>
      <x:c r="C103" s="25" t="str">
        <x:v>Principles and processes of complaint handling</x:v>
      </x:c>
      <x:c r="D103" s="25" t="str">
        <x:v>业务流程</x:v>
      </x:c>
      <x:c r="E103" s="25" t="str">
        <x:v>投诉、索赔与和解</x:v>
      </x:c>
      <x:c r="F103" s="25" t="n">
        <x:v>2</x:v>
      </x:c>
      <x:c r="G103" s="25" t="str">
        <x:v>P9.01, P9.09</x:v>
      </x:c>
      <x:c r="H103" s="25" t="str">
        <x:v>到货质量或数量投诉；重复投诉但未解决根因</x:v>
      </x:c>
      <x:c r="I103" s="26" t="str">
        <x:v>投诉、索赔与和解</x:v>
      </x:c>
    </x:row>
    <x:row r="104">
      <x:c r="A104" s="24" t="str">
        <x:v>K103</x:v>
      </x:c>
      <x:c r="B104" s="25" t="str">
        <x:v>沟通、倾听与客户服务语言</x:v>
      </x:c>
      <x:c r="C104" s="25" t="str">
        <x:v>Communication, listening, and customer-service language</x:v>
      </x:c>
      <x:c r="D104" s="25" t="str">
        <x:v>策略</x:v>
      </x:c>
      <x:c r="E104" s="25" t="str">
        <x:v>投诉、索赔与和解</x:v>
      </x:c>
      <x:c r="F104" s="25" t="n">
        <x:v>2</x:v>
      </x:c>
      <x:c r="G104" s="25" t="str">
        <x:v>P9.02, P9.08</x:v>
      </x:c>
      <x:c r="H104" s="25" t="str">
        <x:v>情绪化投诉升级与声誉风险；跨文化投诉处理失当</x:v>
      </x:c>
      <x:c r="I104" s="26" t="str">
        <x:v>投诉、索赔与和解</x:v>
      </x:c>
    </x:row>
    <x:row r="105">
      <x:c r="A105" s="24" t="str">
        <x:v>K104</x:v>
      </x:c>
      <x:c r="B105" s="25" t="str">
        <x:v>客户心理分析与服务补救</x:v>
      </x:c>
      <x:c r="C105" s="25" t="str">
        <x:v>Customer psychology analysis and service recovery</x:v>
      </x:c>
      <x:c r="D105" s="25" t="str">
        <x:v>策略</x:v>
      </x:c>
      <x:c r="E105" s="25" t="str">
        <x:v>投诉、索赔与和解</x:v>
      </x:c>
      <x:c r="F105" s="25" t="n">
        <x:v>2</x:v>
      </x:c>
      <x:c r="G105" s="25" t="str">
        <x:v>P9.02, P9.06</x:v>
      </x:c>
      <x:c r="H105" s="25" t="str">
        <x:v>情绪化投诉升级与声誉风险；赔偿金额谈判僵局</x:v>
      </x:c>
      <x:c r="I105" s="26" t="str">
        <x:v>投诉、索赔与和解</x:v>
      </x:c>
    </x:row>
    <x:row r="106">
      <x:c r="A106" s="24" t="str">
        <x:v>K105</x:v>
      </x:c>
      <x:c r="B106" s="25" t="str">
        <x:v>投诉预防、记录与反馈机制</x:v>
      </x:c>
      <x:c r="C106" s="25" t="str">
        <x:v>Complaint prevention, records, and feedback mechanisms</x:v>
      </x:c>
      <x:c r="D106" s="25" t="str">
        <x:v>业务流程</x:v>
      </x:c>
      <x:c r="E106" s="25" t="str">
        <x:v>投诉、索赔与和解</x:v>
      </x:c>
      <x:c r="F106" s="25" t="n">
        <x:v>1</x:v>
      </x:c>
      <x:c r="G106" s="25" t="str">
        <x:v>P9.09</x:v>
      </x:c>
      <x:c r="H106" s="25" t="str">
        <x:v>重复投诉但未解决根因</x:v>
      </x:c>
      <x:c r="I106" s="26" t="str">
        <x:v>投诉、索赔与和解</x:v>
      </x:c>
    </x:row>
    <x:row r="107">
      <x:c r="A107" s="24" t="str">
        <x:v>K106</x:v>
      </x:c>
      <x:c r="B107" s="25" t="str">
        <x:v>投诉处理的跨文化差异</x:v>
      </x:c>
      <x:c r="C107" s="25" t="str">
        <x:v>Cross-cultural differences in complaint handling</x:v>
      </x:c>
      <x:c r="D107" s="25" t="str">
        <x:v>跨文化</x:v>
      </x:c>
      <x:c r="E107" s="25" t="str">
        <x:v>投诉、索赔与和解</x:v>
      </x:c>
      <x:c r="F107" s="25" t="n">
        <x:v>2</x:v>
      </x:c>
      <x:c r="G107" s="25" t="str">
        <x:v>P9.02, P9.08</x:v>
      </x:c>
      <x:c r="H107" s="25" t="str">
        <x:v>情绪化投诉升级与声誉风险；跨文化投诉处理失当</x:v>
      </x:c>
      <x:c r="I107" s="26" t="str">
        <x:v>投诉、索赔与和解</x:v>
      </x:c>
    </x:row>
    <x:row r="108">
      <x:c r="A108" s="24" t="str">
        <x:v>K107</x:v>
      </x:c>
      <x:c r="B108" s="25" t="str">
        <x:v>客户满意度评估</x:v>
      </x:c>
      <x:c r="C108" s="25" t="str">
        <x:v>Customer satisfaction assessment</x:v>
      </x:c>
      <x:c r="D108" s="25" t="str">
        <x:v>业务流程</x:v>
      </x:c>
      <x:c r="E108" s="25" t="str">
        <x:v>投诉、索赔与和解</x:v>
      </x:c>
      <x:c r="F108" s="25" t="n">
        <x:v>1</x:v>
      </x:c>
      <x:c r="G108" s="25" t="str">
        <x:v>P9.09</x:v>
      </x:c>
      <x:c r="H108" s="25" t="str">
        <x:v>重复投诉但未解决根因</x:v>
      </x:c>
      <x:c r="I108" s="26" t="str">
        <x:v>投诉、索赔与和解</x:v>
      </x:c>
    </x:row>
    <x:row r="109">
      <x:c r="A109" s="24" t="str">
        <x:v>K108</x:v>
      </x:c>
      <x:c r="B109" s="25" t="str">
        <x:v>投诉法律风险与声誉管理</x:v>
      </x:c>
      <x:c r="C109" s="25" t="str">
        <x:v>Complaints, legal risks, and reputation management</x:v>
      </x:c>
      <x:c r="D109" s="25" t="str">
        <x:v>风险控制</x:v>
      </x:c>
      <x:c r="E109" s="25" t="str">
        <x:v>投诉、索赔与和解</x:v>
      </x:c>
      <x:c r="F109" s="25" t="n">
        <x:v>2</x:v>
      </x:c>
      <x:c r="G109" s="25" t="str">
        <x:v>P9.02, P9.05</x:v>
      </x:c>
      <x:c r="H109" s="25" t="str">
        <x:v>情绪化投诉升级与声誉风险；不当援引不可抗力</x:v>
      </x:c>
      <x:c r="I109" s="26" t="str">
        <x:v>投诉、索赔与和解</x:v>
      </x:c>
    </x:row>
    <x:row r="110">
      <x:c r="A110" s="24" t="str">
        <x:v>K109</x:v>
      </x:c>
      <x:c r="B110" s="25" t="str">
        <x:v>根因分析与争议调解</x:v>
      </x:c>
      <x:c r="C110" s="25" t="str">
        <x:v>Root cause analysis and dispute mediation</x:v>
      </x:c>
      <x:c r="D110" s="25" t="str">
        <x:v>业务流程</x:v>
      </x:c>
      <x:c r="E110" s="25" t="str">
        <x:v>投诉、索赔与和解</x:v>
      </x:c>
      <x:c r="F110" s="25" t="n">
        <x:v>4</x:v>
      </x:c>
      <x:c r="G110" s="25" t="str">
        <x:v>P8.05, P8.07, P9.06, P9.09</x:v>
      </x:c>
      <x:c r="H110" s="25" t="str">
        <x:v>诉讼与仲裁选择分歧；仲裁成本与周期失控；赔偿金额谈判僵局；重复投诉但未解决根因</x:v>
      </x:c>
      <x:c r="I110" s="26" t="str">
        <x:v>保险与仲裁；投诉、索赔与和解</x:v>
      </x:c>
    </x:row>
    <x:row r="111">
      <x:c r="A111" s="24" t="str">
        <x:v>K110</x:v>
      </x:c>
      <x:c r="B111" s="25" t="str">
        <x:v>索赔的定义</x:v>
      </x:c>
      <x:c r="C111" s="25" t="str">
        <x:v>Definition of claims</x:v>
      </x:c>
      <x:c r="D111" s="25" t="str">
        <x:v>概念</x:v>
      </x:c>
      <x:c r="E111" s="25" t="str">
        <x:v>投诉、索赔与和解</x:v>
      </x:c>
      <x:c r="F111" s="25" t="n">
        <x:v>1</x:v>
      </x:c>
      <x:c r="G111" s="25" t="str">
        <x:v>P9.03</x:v>
      </x:c>
      <x:c r="H111" s="25" t="str">
        <x:v>超过时效提出索赔</x:v>
      </x:c>
      <x:c r="I111" s="26" t="str">
        <x:v>投诉、索赔与和解</x:v>
      </x:c>
    </x:row>
    <x:row r="112">
      <x:c r="A112" s="24" t="str">
        <x:v>K111</x:v>
      </x:c>
      <x:c r="B112" s="25" t="str">
        <x:v>索赔程序</x:v>
      </x:c>
      <x:c r="C112" s="25" t="str">
        <x:v>Claim procedures</x:v>
      </x:c>
      <x:c r="D112" s="25" t="str">
        <x:v>业务流程</x:v>
      </x:c>
      <x:c r="E112" s="25" t="str">
        <x:v>投诉、索赔与和解</x:v>
      </x:c>
      <x:c r="F112" s="25" t="n">
        <x:v>3</x:v>
      </x:c>
      <x:c r="G112" s="25" t="str">
        <x:v>P9.01, P9.03, P9.04</x:v>
      </x:c>
      <x:c r="H112" s="25" t="str">
        <x:v>到货质量或数量投诉；超过时效提出索赔；证据链断裂</x:v>
      </x:c>
      <x:c r="I112" s="26" t="str">
        <x:v>投诉、索赔与和解</x:v>
      </x:c>
    </x:row>
    <x:row r="113">
      <x:c r="A113" s="24" t="str">
        <x:v>K112</x:v>
      </x:c>
      <x:c r="B113" s="25" t="str">
        <x:v>证据收集与证据链完整性</x:v>
      </x:c>
      <x:c r="C113" s="25" t="str">
        <x:v>Evidence gathering and evidence-chain integrity</x:v>
      </x:c>
      <x:c r="D113" s="25" t="str">
        <x:v>业务流程</x:v>
      </x:c>
      <x:c r="E113" s="25" t="str">
        <x:v>投诉、索赔与和解</x:v>
      </x:c>
      <x:c r="F113" s="25" t="n">
        <x:v>4</x:v>
      </x:c>
      <x:c r="G113" s="25" t="str">
        <x:v>P7.05, P8.02, P9.01, P9.04</x:v>
      </x:c>
      <x:c r="H113" s="25" t="str">
        <x:v>产地检验合格但目的地不合格；索赔因程序或免赔额被拒；到货质量或数量投诉；证据链断裂</x:v>
      </x:c>
      <x:c r="I113" s="26" t="str">
        <x:v>商品检验；保险与仲裁；投诉、索赔与和解</x:v>
      </x:c>
    </x:row>
    <x:row r="114">
      <x:c r="A114" s="24" t="str">
        <x:v>K113</x:v>
      </x:c>
      <x:c r="B114" s="25" t="str">
        <x:v>索赔与诉讼时效</x:v>
      </x:c>
      <x:c r="C114" s="25" t="str">
        <x:v>Statutes of limitation for claims and litigation</x:v>
      </x:c>
      <x:c r="D114" s="25" t="str">
        <x:v>法律规则</x:v>
      </x:c>
      <x:c r="E114" s="25" t="str">
        <x:v>投诉、索赔与和解</x:v>
      </x:c>
      <x:c r="F114" s="25" t="n">
        <x:v>1</x:v>
      </x:c>
      <x:c r="G114" s="25" t="str">
        <x:v>P9.03</x:v>
      </x:c>
      <x:c r="H114" s="25" t="str">
        <x:v>超过时效提出索赔</x:v>
      </x:c>
      <x:c r="I114" s="26" t="str">
        <x:v>投诉、索赔与和解</x:v>
      </x:c>
    </x:row>
    <x:row r="115">
      <x:c r="A115" s="24" t="str">
        <x:v>K114</x:v>
      </x:c>
      <x:c r="B115" s="25" t="str">
        <x:v>不可抗力条款与案例</x:v>
      </x:c>
      <x:c r="C115" s="25" t="str">
        <x:v>Force majeure clauses and case studies</x:v>
      </x:c>
      <x:c r="D115" s="25" t="str">
        <x:v>法律规则</x:v>
      </x:c>
      <x:c r="E115" s="25" t="str">
        <x:v>投诉、索赔与和解</x:v>
      </x:c>
      <x:c r="F115" s="25" t="n">
        <x:v>3</x:v>
      </x:c>
      <x:c r="G115" s="25" t="str">
        <x:v>P6.05, P8.06, P9.05</x:v>
      </x:c>
      <x:c r="H115" s="25" t="str">
        <x:v>交付迟延构成违约；保险损失与不可抗力混淆；不当援引不可抗力</x:v>
      </x:c>
      <x:c r="I115" s="26" t="str">
        <x:v>付款与交付；保险与仲裁；投诉、索赔与和解</x:v>
      </x:c>
    </x:row>
    <x:row r="116">
      <x:c r="A116" s="24" t="str">
        <x:v>K115</x:v>
      </x:c>
      <x:c r="B116" s="25" t="str">
        <x:v>赔偿金额计算</x:v>
      </x:c>
      <x:c r="C116" s="25" t="str">
        <x:v>Calculation of compensation amounts</x:v>
      </x:c>
      <x:c r="D116" s="25" t="str">
        <x:v>业务流程</x:v>
      </x:c>
      <x:c r="E116" s="25" t="str">
        <x:v>投诉、索赔与和解</x:v>
      </x:c>
      <x:c r="F116" s="25" t="n">
        <x:v>1</x:v>
      </x:c>
      <x:c r="G116" s="25" t="str">
        <x:v>P9.06</x:v>
      </x:c>
      <x:c r="H116" s="25" t="str">
        <x:v>赔偿金额谈判僵局</x:v>
      </x:c>
      <x:c r="I116" s="26" t="str">
        <x:v>投诉、索赔与和解</x:v>
      </x:c>
    </x:row>
    <x:row r="117">
      <x:c r="A117" s="24" t="str">
        <x:v>K116</x:v>
      </x:c>
      <x:c r="B117" s="25" t="str">
        <x:v>索赔与和解的跨文化差异</x:v>
      </x:c>
      <x:c r="C117" s="25" t="str">
        <x:v>Cross-cultural differences in claims and settlements</x:v>
      </x:c>
      <x:c r="D117" s="25" t="str">
        <x:v>跨文化</x:v>
      </x:c>
      <x:c r="E117" s="25" t="str">
        <x:v>投诉、索赔与和解</x:v>
      </x:c>
      <x:c r="F117" s="25" t="n">
        <x:v>1</x:v>
      </x:c>
      <x:c r="G117" s="25" t="str">
        <x:v>P9.08</x:v>
      </x:c>
      <x:c r="H117" s="25" t="str">
        <x:v>跨文化投诉处理失当</x:v>
      </x:c>
      <x:c r="I117" s="26" t="str">
        <x:v>投诉、索赔与和解</x:v>
      </x:c>
    </x:row>
    <x:row r="118">
      <x:c r="A118" s="24" t="str">
        <x:v>K117</x:v>
      </x:c>
      <x:c r="B118" s="25" t="str">
        <x:v>承运人责任与事故处理</x:v>
      </x:c>
      <x:c r="C118" s="25" t="str">
        <x:v>Carrier liability and accident handling</x:v>
      </x:c>
      <x:c r="D118" s="25" t="str">
        <x:v>法律规则</x:v>
      </x:c>
      <x:c r="E118" s="25" t="str">
        <x:v>投诉、索赔与和解</x:v>
      </x:c>
      <x:c r="F118" s="25" t="n">
        <x:v>1</x:v>
      </x:c>
      <x:c r="G118" s="25" t="str">
        <x:v>P9.07</x:v>
      </x:c>
      <x:c r="H118" s="25" t="str">
        <x:v>承运人与卖方责任混淆</x:v>
      </x:c>
      <x:c r="I118" s="26" t="str">
        <x:v>投诉、索赔与和解</x:v>
      </x:c>
    </x:row>
    <x:row r="119">
      <x:c r="A119" s="27" t="str">
        <x:v>K118</x:v>
      </x:c>
      <x:c r="B119" s="28" t="str">
        <x:v>索赔谈判、和解、调解与诉讼</x:v>
      </x:c>
      <x:c r="C119" s="28" t="str">
        <x:v>Claim negotiation, settlement, mediation and litigation</x:v>
      </x:c>
      <x:c r="D119" s="28" t="str">
        <x:v>策略</x:v>
      </x:c>
      <x:c r="E119" s="28" t="str">
        <x:v>投诉、索赔与和解</x:v>
      </x:c>
      <x:c r="F119" s="28" t="n">
        <x:v>2</x:v>
      </x:c>
      <x:c r="G119" s="28" t="str">
        <x:v>P8.07, P9.06</x:v>
      </x:c>
      <x:c r="H119" s="28" t="str">
        <x:v>仲裁成本与周期失控；赔偿金额谈判僵局</x:v>
      </x:c>
      <x:c r="I119" s="29" t="str">
        <x:v>保险与仲裁；投诉、索赔与和解</x:v>
      </x:c>
    </x:row>
  </x:sheetData>
  <x:pageMargins left="0.7" right="0.7" top="0.75" bottom="0.75" header="0.3" footer="0.3"/>
  <x:tableParts count="1">
    <x:tablePart xmlns:r="http://schemas.openxmlformats.org/officeDocument/2006/relationships" r:id="R51a27bf667fd498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48" t="str">
        <x:v>课程覆盖度 · 专家图谱平衡检查</x:v>
      </x:c>
      <x:c r="B1" s="49"/>
      <x:c r="C1" s="49"/>
      <x:c r="D1" s="49"/>
      <x:c r="E1" s="50"/>
    </x:row>
    <x:row r="2">
      <x:c r="A2" s="33"/>
      <x:c r="B2" s="34"/>
      <x:c r="C2" s="34"/>
      <x:c r="D2" s="34"/>
      <x:c r="E2" s="35"/>
    </x:row>
    <x:row r="3">
      <x:c r="A3" s="39" t="str">
        <x:v>主题ID</x:v>
      </x:c>
      <x:c r="B3" s="40" t="str">
        <x:v>一级主题</x:v>
      </x:c>
      <x:c r="C3" s="40" t="str">
        <x:v>二级现象数</x:v>
      </x:c>
      <x:c r="D3" s="40" t="str">
        <x:v>三级节点数</x:v>
      </x:c>
      <x:c r="E3" s="43" t="str">
        <x:v>关系数</x:v>
      </x:c>
    </x:row>
    <x:row r="4">
      <x:c r="A4" s="41" t="str">
        <x:v>S1</x:v>
      </x:c>
      <x:c r="B4" s="42" t="str">
        <x:v>询盘</x:v>
      </x:c>
      <x:c r="C4" s="42" t="n">
        <x:f>COUNTIF(Phenomena!$B$2:$B$67,A4)</x:f>
        <x:v>7</x:v>
      </x:c>
      <x:c r="D4" s="42" t="n">
        <x:f>COUNTIF(KnowledgeResources!$G$2:$G$95,A4)+COUNTIF(NegotiationStrategies!$F$2:$F$25,A4)</x:f>
        <x:v>12</x:v>
      </x:c>
      <x:c r="E4" s="44" t="n">
        <x:f>COUNTIF('GraphRelations(Edges)'!$A$2:$A$299,"P1.01")+COUNTIF('GraphRelations(Edges)'!$A$2:$A$299,"P1.02")+COUNTIF('GraphRelations(Edges)'!$A$2:$A$299,"P1.03")+COUNTIF('GraphRelations(Edges)'!$A$2:$A$299,"P1.04")+COUNTIF('GraphRelations(Edges)'!$A$2:$A$299,"P1.05")+COUNTIF('GraphRelations(Edges)'!$A$2:$A$299,"P1.06")+COUNTIF('GraphRelations(Edges)'!$A$2:$A$299,"P1.07")</x:f>
        <x:v>30</x:v>
      </x:c>
    </x:row>
    <x:row r="5">
      <x:c r="A5" s="41" t="str">
        <x:v>S2</x:v>
      </x:c>
      <x:c r="B5" s="42" t="str">
        <x:v>发盘</x:v>
      </x:c>
      <x:c r="C5" s="42" t="n">
        <x:f>COUNTIF(Phenomena!$B$2:$B$67,A5)</x:f>
        <x:v>7</x:v>
      </x:c>
      <x:c r="D5" s="42" t="n">
        <x:f>COUNTIF(KnowledgeResources!$G$2:$G$95,A5)+COUNTIF(NegotiationStrategies!$F$2:$F$25,A5)</x:f>
        <x:v>13</x:v>
      </x:c>
      <x:c r="E5" s="44" t="n">
        <x:f>COUNTIF('GraphRelations(Edges)'!$A$2:$A$299,"P2.01")+COUNTIF('GraphRelations(Edges)'!$A$2:$A$299,"P2.02")+COUNTIF('GraphRelations(Edges)'!$A$2:$A$299,"P2.03")+COUNTIF('GraphRelations(Edges)'!$A$2:$A$299,"P2.04")+COUNTIF('GraphRelations(Edges)'!$A$2:$A$299,"P2.05")+COUNTIF('GraphRelations(Edges)'!$A$2:$A$299,"P2.06")+COUNTIF('GraphRelations(Edges)'!$A$2:$A$299,"P2.07")</x:f>
        <x:v>33</x:v>
      </x:c>
    </x:row>
    <x:row r="6">
      <x:c r="A6" s="41" t="str">
        <x:v>S3</x:v>
      </x:c>
      <x:c r="B6" s="42" t="str">
        <x:v>还盘</x:v>
      </x:c>
      <x:c r="C6" s="42" t="n">
        <x:f>COUNTIF(Phenomena!$B$2:$B$67,A6)</x:f>
        <x:v>7</x:v>
      </x:c>
      <x:c r="D6" s="42" t="n">
        <x:f>COUNTIF(KnowledgeResources!$G$2:$G$95,A6)+COUNTIF(NegotiationStrategies!$F$2:$F$25,A6)</x:f>
        <x:v>13</x:v>
      </x:c>
      <x:c r="E6" s="44" t="n">
        <x:f>COUNTIF('GraphRelations(Edges)'!$A$2:$A$299,"P3.01")+COUNTIF('GraphRelations(Edges)'!$A$2:$A$299,"P3.02")+COUNTIF('GraphRelations(Edges)'!$A$2:$A$299,"P3.03")+COUNTIF('GraphRelations(Edges)'!$A$2:$A$299,"P3.04")+COUNTIF('GraphRelations(Edges)'!$A$2:$A$299,"P3.05")+COUNTIF('GraphRelations(Edges)'!$A$2:$A$299,"P3.06")+COUNTIF('GraphRelations(Edges)'!$A$2:$A$299,"P3.07")</x:f>
        <x:v>32</x:v>
      </x:c>
    </x:row>
    <x:row r="7">
      <x:c r="A7" s="41" t="str">
        <x:v>S4</x:v>
      </x:c>
      <x:c r="B7" s="42" t="str">
        <x:v>接受与订货</x:v>
      </x:c>
      <x:c r="C7" s="42" t="n">
        <x:f>COUNTIF(Phenomena!$B$2:$B$67,A7)</x:f>
        <x:v>7</x:v>
      </x:c>
      <x:c r="D7" s="42" t="n">
        <x:f>COUNTIF(KnowledgeResources!$G$2:$G$95,A7)+COUNTIF(NegotiationStrategies!$F$2:$F$25,A7)</x:f>
        <x:v>13</x:v>
      </x:c>
      <x:c r="E7" s="44" t="n">
        <x:f>COUNTIF('GraphRelations(Edges)'!$A$2:$A$299,"P4.01")+COUNTIF('GraphRelations(Edges)'!$A$2:$A$299,"P4.02")+COUNTIF('GraphRelations(Edges)'!$A$2:$A$299,"P4.03")+COUNTIF('GraphRelations(Edges)'!$A$2:$A$299,"P4.04")+COUNTIF('GraphRelations(Edges)'!$A$2:$A$299,"P4.05")+COUNTIF('GraphRelations(Edges)'!$A$2:$A$299,"P4.06")+COUNTIF('GraphRelations(Edges)'!$A$2:$A$299,"P4.07")</x:f>
        <x:v>31</x:v>
      </x:c>
    </x:row>
    <x:row r="8">
      <x:c r="A8" s="41" t="str">
        <x:v>S5</x:v>
      </x:c>
      <x:c r="B8" s="42" t="str">
        <x:v>包装与装运</x:v>
      </x:c>
      <x:c r="C8" s="42" t="n">
        <x:f>COUNTIF(Phenomena!$B$2:$B$67,A8)</x:f>
        <x:v>8</x:v>
      </x:c>
      <x:c r="D8" s="42" t="n">
        <x:f>COUNTIF(KnowledgeResources!$G$2:$G$95,A8)+COUNTIF(NegotiationStrategies!$F$2:$F$25,A8)</x:f>
        <x:v>14</x:v>
      </x:c>
      <x:c r="E8" s="44" t="n">
        <x:f>COUNTIF('GraphRelations(Edges)'!$A$2:$A$299,"P5.01")+COUNTIF('GraphRelations(Edges)'!$A$2:$A$299,"P5.02")+COUNTIF('GraphRelations(Edges)'!$A$2:$A$299,"P5.03")+COUNTIF('GraphRelations(Edges)'!$A$2:$A$299,"P5.04")+COUNTIF('GraphRelations(Edges)'!$A$2:$A$299,"P5.05")+COUNTIF('GraphRelations(Edges)'!$A$2:$A$299,"P5.06")+COUNTIF('GraphRelations(Edges)'!$A$2:$A$299,"P5.07")+COUNTIF('GraphRelations(Edges)'!$A$2:$A$299,"P5.08")</x:f>
        <x:v>32</x:v>
      </x:c>
    </x:row>
    <x:row r="9">
      <x:c r="A9" s="41" t="str">
        <x:v>S6</x:v>
      </x:c>
      <x:c r="B9" s="42" t="str">
        <x:v>付款与交付</x:v>
      </x:c>
      <x:c r="C9" s="42" t="n">
        <x:f>COUNTIF(Phenomena!$B$2:$B$67,A9)</x:f>
        <x:v>7</x:v>
      </x:c>
      <x:c r="D9" s="42" t="n">
        <x:f>COUNTIF(KnowledgeResources!$G$2:$G$95,A9)+COUNTIF(NegotiationStrategies!$F$2:$F$25,A9)</x:f>
        <x:v>12</x:v>
      </x:c>
      <x:c r="E9" s="44" t="n">
        <x:f>COUNTIF('GraphRelations(Edges)'!$A$2:$A$299,"P6.01")+COUNTIF('GraphRelations(Edges)'!$A$2:$A$299,"P6.02")+COUNTIF('GraphRelations(Edges)'!$A$2:$A$299,"P6.03")+COUNTIF('GraphRelations(Edges)'!$A$2:$A$299,"P6.04")+COUNTIF('GraphRelations(Edges)'!$A$2:$A$299,"P6.05")+COUNTIF('GraphRelations(Edges)'!$A$2:$A$299,"P6.06")+COUNTIF('GraphRelations(Edges)'!$A$2:$A$299,"P6.07")</x:f>
        <x:v>36</x:v>
      </x:c>
    </x:row>
    <x:row r="10">
      <x:c r="A10" s="41" t="str">
        <x:v>S7</x:v>
      </x:c>
      <x:c r="B10" s="42" t="str">
        <x:v>商品检验</x:v>
      </x:c>
      <x:c r="C10" s="42" t="n">
        <x:f>COUNTIF(Phenomena!$B$2:$B$67,A10)</x:f>
        <x:v>7</x:v>
      </x:c>
      <x:c r="D10" s="42" t="n">
        <x:f>COUNTIF(KnowledgeResources!$G$2:$G$95,A10)+COUNTIF(NegotiationStrategies!$F$2:$F$25,A10)</x:f>
        <x:v>12</x:v>
      </x:c>
      <x:c r="E10" s="44" t="n">
        <x:f>COUNTIF('GraphRelations(Edges)'!$A$2:$A$299,"P7.01")+COUNTIF('GraphRelations(Edges)'!$A$2:$A$299,"P7.02")+COUNTIF('GraphRelations(Edges)'!$A$2:$A$299,"P7.03")+COUNTIF('GraphRelations(Edges)'!$A$2:$A$299,"P7.04")+COUNTIF('GraphRelations(Edges)'!$A$2:$A$299,"P7.05")+COUNTIF('GraphRelations(Edges)'!$A$2:$A$299,"P7.06")+COUNTIF('GraphRelations(Edges)'!$A$2:$A$299,"P7.07")</x:f>
        <x:v>31</x:v>
      </x:c>
    </x:row>
    <x:row r="11">
      <x:c r="A11" s="41" t="str">
        <x:v>S8</x:v>
      </x:c>
      <x:c r="B11" s="42" t="str">
        <x:v>保险与仲裁</x:v>
      </x:c>
      <x:c r="C11" s="42" t="n">
        <x:f>COUNTIF(Phenomena!$B$2:$B$67,A11)</x:f>
        <x:v>7</x:v>
      </x:c>
      <x:c r="D11" s="42" t="n">
        <x:f>COUNTIF(KnowledgeResources!$G$2:$G$95,A11)+COUNTIF(NegotiationStrategies!$F$2:$F$25,A11)</x:f>
        <x:v>11</x:v>
      </x:c>
      <x:c r="E11" s="44" t="n">
        <x:f>COUNTIF('GraphRelations(Edges)'!$A$2:$A$299,"P8.01")+COUNTIF('GraphRelations(Edges)'!$A$2:$A$299,"P8.02")+COUNTIF('GraphRelations(Edges)'!$A$2:$A$299,"P8.03")+COUNTIF('GraphRelations(Edges)'!$A$2:$A$299,"P8.04")+COUNTIF('GraphRelations(Edges)'!$A$2:$A$299,"P8.05")+COUNTIF('GraphRelations(Edges)'!$A$2:$A$299,"P8.06")+COUNTIF('GraphRelations(Edges)'!$A$2:$A$299,"P8.07")</x:f>
        <x:v>31</x:v>
      </x:c>
    </x:row>
    <x:row r="12">
      <x:c r="A12" s="41" t="str">
        <x:v>S9</x:v>
      </x:c>
      <x:c r="B12" s="42" t="str">
        <x:v>投诉、索赔与和解</x:v>
      </x:c>
      <x:c r="C12" s="42" t="n">
        <x:f>COUNTIF(Phenomena!$B$2:$B$67,A12)</x:f>
        <x:v>9</x:v>
      </x:c>
      <x:c r="D12" s="42" t="n">
        <x:f>COUNTIF(KnowledgeResources!$G$2:$G$95,A12)+COUNTIF(NegotiationStrategies!$F$2:$F$25,A12)</x:f>
        <x:v>18</x:v>
      </x:c>
      <x:c r="E12" s="44" t="n">
        <x:f>COUNTIF('GraphRelations(Edges)'!$A$2:$A$299,"P9.01")+COUNTIF('GraphRelations(Edges)'!$A$2:$A$299,"P9.02")+COUNTIF('GraphRelations(Edges)'!$A$2:$A$299,"P9.03")+COUNTIF('GraphRelations(Edges)'!$A$2:$A$299,"P9.04")+COUNTIF('GraphRelations(Edges)'!$A$2:$A$299,"P9.05")+COUNTIF('GraphRelations(Edges)'!$A$2:$A$299,"P9.06")+COUNTIF('GraphRelations(Edges)'!$A$2:$A$299,"P9.07")+COUNTIF('GraphRelations(Edges)'!$A$2:$A$299,"P9.08")+COUNTIF('GraphRelations(Edges)'!$A$2:$A$299,"P9.09")</x:f>
        <x:v>42</x:v>
      </x:c>
    </x:row>
    <x:row r="13">
      <x:c r="A13" s="33"/>
      <x:c r="B13" s="34"/>
      <x:c r="C13" s="34"/>
      <x:c r="D13" s="34"/>
      <x:c r="E13" s="35"/>
    </x:row>
    <x:row r="14">
      <x:c r="A14" s="33"/>
      <x:c r="B14" s="34"/>
      <x:c r="C14" s="34"/>
      <x:c r="D14" s="34"/>
      <x:c r="E14" s="35"/>
    </x:row>
    <x:row r="15">
      <x:c r="A15" s="39" t="str">
        <x:v>三级类型</x:v>
      </x:c>
      <x:c r="B15" s="40" t="str">
        <x:v>节点数</x:v>
      </x:c>
      <x:c r="C15" s="40" t="str">
        <x:v>关系使用数</x:v>
      </x:c>
      <x:c r="D15" s="40" t="str">
        <x:v>占三级节点比例</x:v>
      </x:c>
      <x:c r="E15" s="35"/>
    </x:row>
    <x:row r="16">
      <x:c r="A16" s="41" t="str">
        <x:v>概念</x:v>
      </x:c>
      <x:c r="B16" s="42" t="n">
        <x:f>COUNTIF(KnowledgeResources!$B$2:$B$95,A16)+IF(A16="策略",COUNTA(NegotiationStrategies!$A$2:$A$25),0)</x:f>
        <x:v>14</x:v>
      </x:c>
      <x:c r="C16" s="42" t="n">
        <x:f>COUNTIF(Expert_Master_Graph_ZH!$I$2:$I$299,A16)</x:f>
        <x:v>25</x:v>
      </x:c>
      <x:c r="D16" s="51" t="n">
        <x:f>B16/118</x:f>
        <x:v>0.11864406779661017</x:v>
      </x:c>
      <x:c r="E16" s="35"/>
    </x:row>
    <x:row r="17">
      <x:c r="A17" s="41" t="str">
        <x:v>法律规则</x:v>
      </x:c>
      <x:c r="B17" s="42" t="n">
        <x:f>COUNTIF(KnowledgeResources!$B$2:$B$95,A17)+IF(A17="策略",COUNTA(NegotiationStrategies!$A$2:$A$25),0)</x:f>
        <x:v>30</x:v>
      </x:c>
      <x:c r="C17" s="42" t="n">
        <x:f>COUNTIF(Expert_Master_Graph_ZH!$I$2:$I$299,A17)</x:f>
        <x:v>88</x:v>
      </x:c>
      <x:c r="D17" s="51" t="n">
        <x:f>B17/118</x:f>
        <x:v>0.2542372881355932</x:v>
      </x:c>
      <x:c r="E17" s="35"/>
    </x:row>
    <x:row r="18">
      <x:c r="A18" s="41" t="str">
        <x:v>策略</x:v>
      </x:c>
      <x:c r="B18" s="42" t="n">
        <x:f>COUNTIF(KnowledgeResources!$B$2:$B$95,A18)+IF(A18="策略",COUNTA(NegotiationStrategies!$A$2:$A$25),0)</x:f>
        <x:v>24</x:v>
      </x:c>
      <x:c r="C18" s="42" t="n">
        <x:f>COUNTIF(Expert_Master_Graph_ZH!$I$2:$I$299,A18)</x:f>
        <x:v>54</x:v>
      </x:c>
      <x:c r="D18" s="51" t="n">
        <x:f>B18/118</x:f>
        <x:v>0.2033898305084746</x:v>
      </x:c>
      <x:c r="E18" s="35"/>
    </x:row>
    <x:row r="19">
      <x:c r="A19" s="41" t="str">
        <x:v>业务流程</x:v>
      </x:c>
      <x:c r="B19" s="42" t="n">
        <x:f>COUNTIF(KnowledgeResources!$B$2:$B$95,A19)+IF(A19="策略",COUNTA(NegotiationStrategies!$A$2:$A$25),0)</x:f>
        <x:v>33</x:v>
      </x:c>
      <x:c r="C19" s="42" t="n">
        <x:f>COUNTIF(Expert_Master_Graph_ZH!$I$2:$I$299,A19)</x:f>
        <x:v>88</x:v>
      </x:c>
      <x:c r="D19" s="51" t="n">
        <x:f>B19/118</x:f>
        <x:v>0.2796610169491525</x:v>
      </x:c>
      <x:c r="E19" s="35"/>
    </x:row>
    <x:row r="20">
      <x:c r="A20" s="41" t="str">
        <x:v>商务函电</x:v>
      </x:c>
      <x:c r="B20" s="42" t="n">
        <x:f>COUNTIF(KnowledgeResources!$B$2:$B$95,A20)+IF(A20="策略",COUNTA(NegotiationStrategies!$A$2:$A$25),0)</x:f>
        <x:v>3</x:v>
      </x:c>
      <x:c r="C20" s="42" t="n">
        <x:f>COUNTIF(Expert_Master_Graph_ZH!$I$2:$I$299,A20)</x:f>
        <x:v>12</x:v>
      </x:c>
      <x:c r="D20" s="51" t="n">
        <x:f>B20/118</x:f>
        <x:v>0.025423728813559324</x:v>
      </x:c>
      <x:c r="E20" s="35"/>
    </x:row>
    <x:row r="21">
      <x:c r="A21" s="41" t="str">
        <x:v>跨文化</x:v>
      </x:c>
      <x:c r="B21" s="42" t="n">
        <x:f>COUNTIF(KnowledgeResources!$B$2:$B$95,A21)+IF(A21="策略",COUNTA(NegotiationStrategies!$A$2:$A$25),0)</x:f>
        <x:v>9</x:v>
      </x:c>
      <x:c r="C21" s="42" t="n">
        <x:f>COUNTIF(Expert_Master_Graph_ZH!$I$2:$I$299,A21)</x:f>
        <x:v>17</x:v>
      </x:c>
      <x:c r="D21" s="51" t="n">
        <x:f>B21/118</x:f>
        <x:v>0.07627118644067797</x:v>
      </x:c>
      <x:c r="E21" s="35"/>
    </x:row>
    <x:row r="22">
      <x:c r="A22" s="45" t="str">
        <x:v>风险控制</x:v>
      </x:c>
      <x:c r="B22" s="46" t="n">
        <x:f>COUNTIF(KnowledgeResources!$B$2:$B$95,A22)+IF(A22="策略",COUNTA(NegotiationStrategies!$A$2:$A$25),0)</x:f>
        <x:v>5</x:v>
      </x:c>
      <x:c r="C22" s="46" t="n">
        <x:f>COUNTIF(Expert_Master_Graph_ZH!$I$2:$I$299,A22)</x:f>
        <x:v>14</x:v>
      </x:c>
      <x:c r="D22" s="52" t="n">
        <x:f>B22/118</x:f>
        <x:v>0.0423728813559322</x:v>
      </x:c>
      <x:c r="E22" s="53"/>
    </x:row>
  </x:sheetData>
  <x:mergeCells>
    <x:mergeCell ref="A1:E1"/>
  </x:mergeCells>
  <x:pageMargins left="0.7" right="0.7" top="0.75" bottom="0.75" header="0.3" footer="0.3"/>
</x:worksheet>
</file>